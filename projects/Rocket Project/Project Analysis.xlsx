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B9725571-2BAD-4DF0-8164-04D0FE518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ustion Analysis" sheetId="1" r:id="rId1"/>
    <sheet name="Engine Requirements" sheetId="2" r:id="rId2"/>
    <sheet name="Test and practical stuff" sheetId="3" r:id="rId3"/>
    <sheet name="Strength Analysis" sheetId="5" r:id="rId4"/>
    <sheet name="Solution of Isentropic Expansio" sheetId="7" r:id="rId5"/>
    <sheet name="Sheet1" sheetId="8" r:id="rId6"/>
    <sheet name="Prices" sheetId="4" r:id="rId7"/>
    <sheet name="Parts List 1" sheetId="6" r:id="rId8"/>
  </sheets>
  <calcPr calcId="191029"/>
</workbook>
</file>

<file path=xl/calcChain.xml><?xml version="1.0" encoding="utf-8"?>
<calcChain xmlns="http://schemas.openxmlformats.org/spreadsheetml/2006/main">
  <c r="B16" i="8" l="1"/>
  <c r="B14" i="8"/>
  <c r="B13" i="8"/>
  <c r="B7" i="8"/>
  <c r="B3" i="8"/>
  <c r="B5" i="8" s="1"/>
  <c r="B8" i="8" s="1"/>
  <c r="D8" i="8" s="1"/>
  <c r="B15" i="2"/>
  <c r="D5" i="8" l="1"/>
  <c r="F117" i="4"/>
  <c r="D63" i="6"/>
  <c r="F63" i="6" s="1"/>
  <c r="F62" i="6"/>
  <c r="D61" i="6"/>
  <c r="F61" i="6" s="1"/>
  <c r="F60" i="6"/>
  <c r="F118" i="4"/>
  <c r="F120" i="4"/>
  <c r="F122" i="4"/>
  <c r="F124" i="4"/>
  <c r="D125" i="4"/>
  <c r="F125" i="4" s="1"/>
  <c r="D123" i="4"/>
  <c r="F123" i="4" s="1"/>
  <c r="D121" i="4"/>
  <c r="F121" i="4" s="1"/>
  <c r="F116" i="4"/>
  <c r="F115" i="4"/>
  <c r="F59" i="6"/>
  <c r="F114" i="4"/>
  <c r="F58" i="6"/>
  <c r="F113" i="4"/>
  <c r="F14" i="6"/>
  <c r="F15" i="6"/>
  <c r="F12" i="4"/>
  <c r="F18" i="4" l="1"/>
  <c r="F90" i="6" l="1"/>
  <c r="F89" i="6"/>
  <c r="F34" i="6"/>
  <c r="F31" i="6"/>
  <c r="F30" i="6"/>
  <c r="F32" i="6"/>
  <c r="F25" i="6"/>
  <c r="F23" i="6"/>
  <c r="F28" i="6"/>
  <c r="F24" i="6"/>
  <c r="F53" i="6"/>
  <c r="F52" i="6"/>
  <c r="F51" i="6"/>
  <c r="F50" i="6"/>
  <c r="F46" i="6"/>
  <c r="F49" i="6"/>
  <c r="F47" i="6"/>
  <c r="E77" i="4"/>
  <c r="F76" i="4"/>
  <c r="F73" i="4"/>
  <c r="F74" i="4"/>
  <c r="F75" i="4"/>
  <c r="F83" i="4"/>
  <c r="F82" i="4"/>
  <c r="F81" i="4"/>
  <c r="F42" i="4"/>
  <c r="F50" i="4"/>
  <c r="F57" i="4"/>
  <c r="F63" i="4"/>
  <c r="F45" i="4"/>
  <c r="F46" i="4"/>
  <c r="F64" i="4"/>
  <c r="F58" i="4"/>
  <c r="F59" i="4"/>
  <c r="F65" i="4"/>
  <c r="F66" i="4"/>
  <c r="F44" i="4"/>
  <c r="F43" i="4"/>
  <c r="F16" i="6"/>
  <c r="F20" i="4"/>
  <c r="F17" i="6"/>
  <c r="H2" i="5"/>
  <c r="D2" i="5"/>
  <c r="B112" i="5"/>
  <c r="F94" i="4"/>
  <c r="F96" i="4" s="1"/>
  <c r="F92" i="6" l="1"/>
  <c r="F84" i="4"/>
  <c r="F47" i="4"/>
  <c r="F60" i="4"/>
  <c r="F67" i="4"/>
  <c r="E6" i="3"/>
  <c r="D2" i="2"/>
  <c r="L14" i="8" s="1"/>
  <c r="E7" i="3"/>
  <c r="I11" i="3" s="1"/>
  <c r="C10" i="3"/>
  <c r="D10" i="3" s="1"/>
  <c r="E10" i="3" s="1"/>
  <c r="C11" i="3"/>
  <c r="D11" i="3" s="1"/>
  <c r="E11" i="3" s="1"/>
  <c r="C12" i="3"/>
  <c r="D12" i="3" s="1"/>
  <c r="E12" i="3" s="1"/>
  <c r="C13" i="3"/>
  <c r="D13" i="3" s="1"/>
  <c r="E13" i="3" s="1"/>
  <c r="C14" i="3"/>
  <c r="D14" i="3" s="1"/>
  <c r="E14" i="3" s="1"/>
  <c r="C15" i="3"/>
  <c r="D15" i="3" s="1"/>
  <c r="E15" i="3" s="1"/>
  <c r="C16" i="3"/>
  <c r="D16" i="3" s="1"/>
  <c r="E16" i="3" s="1"/>
  <c r="C17" i="3"/>
  <c r="D17" i="3" s="1"/>
  <c r="E17" i="3" s="1"/>
  <c r="C18" i="3"/>
  <c r="D18" i="3" s="1"/>
  <c r="E18" i="3" s="1"/>
  <c r="C19" i="3"/>
  <c r="D19" i="3" s="1"/>
  <c r="E19" i="3" s="1"/>
  <c r="C20" i="3"/>
  <c r="D20" i="3" s="1"/>
  <c r="E20" i="3" s="1"/>
  <c r="C21" i="3"/>
  <c r="D21" i="3" s="1"/>
  <c r="E21" i="3" s="1"/>
  <c r="C22" i="3"/>
  <c r="D22" i="3" s="1"/>
  <c r="E22" i="3" s="1"/>
  <c r="C23" i="3"/>
  <c r="D23" i="3" s="1"/>
  <c r="E23" i="3" s="1"/>
  <c r="C24" i="3"/>
  <c r="D24" i="3" s="1"/>
  <c r="E24" i="3" s="1"/>
  <c r="C25" i="3"/>
  <c r="D25" i="3" s="1"/>
  <c r="E25" i="3" s="1"/>
  <c r="C26" i="3"/>
  <c r="D26" i="3" s="1"/>
  <c r="E26" i="3" s="1"/>
  <c r="C9" i="3"/>
  <c r="D9" i="3" s="1"/>
  <c r="E9" i="3" s="1"/>
  <c r="F7" i="4"/>
  <c r="F6" i="4"/>
  <c r="F18" i="6"/>
  <c r="F13" i="6"/>
  <c r="F19" i="6" s="1"/>
  <c r="F6" i="6"/>
  <c r="F9" i="6"/>
  <c r="F10" i="6"/>
  <c r="F7" i="6"/>
  <c r="F2" i="6"/>
  <c r="D15" i="2"/>
  <c r="B17" i="8" l="1"/>
  <c r="D17" i="8" s="1"/>
  <c r="B18" i="8" s="1"/>
  <c r="B19" i="8" s="1"/>
  <c r="L16" i="8"/>
  <c r="B23" i="8" s="1"/>
  <c r="D23" i="8" s="1"/>
  <c r="B24" i="8" s="1"/>
  <c r="B25" i="8" s="1"/>
  <c r="L15" i="8"/>
  <c r="B20" i="8" s="1"/>
  <c r="D20" i="8" s="1"/>
  <c r="B21" i="8" s="1"/>
  <c r="B22" i="8" s="1"/>
  <c r="F11" i="6"/>
  <c r="I20" i="3"/>
  <c r="I9" i="3"/>
  <c r="I19" i="3"/>
  <c r="I24" i="3"/>
  <c r="I16" i="3"/>
  <c r="I23" i="3"/>
  <c r="I15" i="3"/>
  <c r="I26" i="3"/>
  <c r="I22" i="3"/>
  <c r="I18" i="3"/>
  <c r="I14" i="3"/>
  <c r="I25" i="3"/>
  <c r="I21" i="3"/>
  <c r="I17" i="3"/>
  <c r="I13" i="3"/>
  <c r="I12" i="3"/>
  <c r="I10" i="3"/>
  <c r="D18" i="2"/>
  <c r="B2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25" i="7"/>
  <c r="B26" i="7"/>
  <c r="B24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3" i="7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C62" i="2"/>
  <c r="D62" i="2" s="1"/>
  <c r="E62" i="2" s="1"/>
  <c r="F62" i="2" s="1"/>
  <c r="A9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63" i="2"/>
  <c r="D12" i="2"/>
  <c r="F21" i="4"/>
  <c r="F19" i="4"/>
  <c r="F17" i="4"/>
  <c r="F16" i="4"/>
  <c r="D112" i="5"/>
  <c r="B119" i="5"/>
  <c r="B117" i="5"/>
  <c r="B116" i="5"/>
  <c r="B44" i="2"/>
  <c r="D44" i="2"/>
  <c r="B21" i="1"/>
  <c r="D21" i="1" s="1"/>
  <c r="D31" i="1" s="1"/>
  <c r="B20" i="1"/>
  <c r="K3" i="1"/>
  <c r="B36" i="2"/>
  <c r="B38" i="2" s="1"/>
  <c r="F86" i="6"/>
  <c r="F79" i="6"/>
  <c r="F73" i="6"/>
  <c r="F68" i="6"/>
  <c r="F56" i="6"/>
  <c r="F43" i="6"/>
  <c r="F27" i="6"/>
  <c r="F33" i="6"/>
  <c r="F94" i="6" l="1"/>
  <c r="B120" i="5"/>
  <c r="D120" i="5" s="1"/>
  <c r="B121" i="5" s="1"/>
  <c r="B122" i="5" s="1"/>
  <c r="D113" i="5"/>
  <c r="B123" i="5" s="1"/>
  <c r="D123" i="5" s="1"/>
  <c r="B124" i="5" s="1"/>
  <c r="B125" i="5" s="1"/>
  <c r="K62" i="2"/>
  <c r="D114" i="5"/>
  <c r="B126" i="5" s="1"/>
  <c r="D126" i="5" s="1"/>
  <c r="B127" i="5" s="1"/>
  <c r="B128" i="5" s="1"/>
  <c r="D20" i="1"/>
  <c r="D29" i="1" s="1"/>
  <c r="B31" i="1"/>
  <c r="F37" i="6"/>
  <c r="F30" i="4"/>
  <c r="F31" i="4"/>
  <c r="F24" i="4"/>
  <c r="F25" i="4"/>
  <c r="F10" i="4"/>
  <c r="F11" i="4"/>
  <c r="F13" i="4"/>
  <c r="F14" i="4"/>
  <c r="F15" i="4"/>
  <c r="B7" i="5"/>
  <c r="D7" i="5" s="1"/>
  <c r="D12" i="5"/>
  <c r="D11" i="5"/>
  <c r="B8" i="5"/>
  <c r="D8" i="5" s="1"/>
  <c r="B14" i="5"/>
  <c r="B38" i="5"/>
  <c r="B37" i="5"/>
  <c r="B40" i="5"/>
  <c r="D6" i="5"/>
  <c r="F38" i="4"/>
  <c r="F39" i="4"/>
  <c r="F87" i="4"/>
  <c r="F88" i="4"/>
  <c r="F89" i="4"/>
  <c r="L62" i="2" l="1"/>
  <c r="B29" i="1"/>
  <c r="F91" i="4"/>
  <c r="B32" i="3"/>
  <c r="B38" i="3"/>
  <c r="F27" i="4"/>
  <c r="F28" i="4"/>
  <c r="F32" i="4"/>
  <c r="F33" i="4"/>
  <c r="F34" i="4"/>
  <c r="F35" i="4"/>
  <c r="F36" i="4"/>
  <c r="F37" i="4"/>
  <c r="B13" i="5" l="1"/>
  <c r="B15" i="5" s="1"/>
  <c r="B39" i="5"/>
  <c r="B41" i="5" s="1"/>
  <c r="F69" i="4"/>
  <c r="F5" i="4"/>
  <c r="B52" i="5" l="1"/>
  <c r="D52" i="5" s="1"/>
  <c r="B53" i="5" s="1"/>
  <c r="B54" i="5" s="1"/>
  <c r="B58" i="5"/>
  <c r="D58" i="5" s="1"/>
  <c r="B59" i="5" s="1"/>
  <c r="B60" i="5" s="1"/>
  <c r="B55" i="5"/>
  <c r="D55" i="5" s="1"/>
  <c r="B56" i="5" s="1"/>
  <c r="B57" i="5" s="1"/>
  <c r="B47" i="5"/>
  <c r="D47" i="5" s="1"/>
  <c r="B48" i="5" s="1"/>
  <c r="B49" i="5" s="1"/>
  <c r="D41" i="5"/>
  <c r="B42" i="5" s="1"/>
  <c r="B43" i="5" s="1"/>
  <c r="B44" i="5"/>
  <c r="D44" i="5" s="1"/>
  <c r="B45" i="5" s="1"/>
  <c r="B46" i="5" s="1"/>
  <c r="B32" i="5"/>
  <c r="D32" i="5" s="1"/>
  <c r="B33" i="5" s="1"/>
  <c r="B34" i="5" s="1"/>
  <c r="B26" i="5"/>
  <c r="D26" i="5" s="1"/>
  <c r="B27" i="5" s="1"/>
  <c r="B28" i="5" s="1"/>
  <c r="B29" i="5"/>
  <c r="D29" i="5" s="1"/>
  <c r="B30" i="5" s="1"/>
  <c r="B31" i="5" s="1"/>
  <c r="B21" i="5"/>
  <c r="D21" i="5" s="1"/>
  <c r="B22" i="5" s="1"/>
  <c r="B23" i="5" s="1"/>
  <c r="B18" i="5"/>
  <c r="D18" i="5" s="1"/>
  <c r="B19" i="5" s="1"/>
  <c r="B20" i="5" s="1"/>
  <c r="D15" i="5"/>
  <c r="B16" i="5" s="1"/>
  <c r="B17" i="5" s="1"/>
  <c r="F2" i="2" l="1"/>
  <c r="B37" i="2" l="1"/>
  <c r="B63" i="1" l="1"/>
  <c r="B24" i="1" s="1"/>
  <c r="B26" i="1" s="1"/>
  <c r="D3" i="2"/>
  <c r="F3" i="2" s="1"/>
  <c r="D24" i="1" l="1"/>
  <c r="B71" i="1"/>
  <c r="D14" i="1"/>
  <c r="B12" i="1"/>
  <c r="D33" i="1" l="1"/>
  <c r="D30" i="1"/>
  <c r="B14" i="1"/>
  <c r="D34" i="1" l="1"/>
  <c r="D47" i="1" s="1"/>
  <c r="B47" i="1" s="1"/>
  <c r="P32" i="1"/>
  <c r="P31" i="1" s="1"/>
  <c r="D39" i="1"/>
  <c r="D40" i="1"/>
  <c r="B30" i="1"/>
  <c r="D32" i="1"/>
  <c r="B33" i="1"/>
  <c r="B34" i="1" l="1"/>
  <c r="B35" i="1" s="1"/>
  <c r="B36" i="1"/>
  <c r="B32" i="1"/>
  <c r="D46" i="1"/>
  <c r="D45" i="1"/>
  <c r="B40" i="1"/>
  <c r="D44" i="1"/>
  <c r="B39" i="1"/>
  <c r="B50" i="1" l="1"/>
  <c r="B46" i="1"/>
  <c r="B52" i="1"/>
  <c r="B45" i="1"/>
  <c r="B51" i="1"/>
  <c r="B44" i="1"/>
  <c r="B41" i="1"/>
  <c r="B58" i="1" l="1"/>
  <c r="B73" i="1"/>
  <c r="B75" i="1" s="1"/>
  <c r="G62" i="2" s="1"/>
  <c r="B53" i="1"/>
  <c r="B69" i="1" s="1"/>
  <c r="B48" i="1"/>
  <c r="C2" i="7" l="1"/>
  <c r="J62" i="2"/>
  <c r="D2" i="7" s="1"/>
  <c r="D51" i="2"/>
  <c r="B78" i="1"/>
  <c r="E32" i="7"/>
  <c r="E16" i="7"/>
  <c r="E4" i="7"/>
  <c r="E2" i="7"/>
  <c r="K2" i="7"/>
  <c r="E27" i="7"/>
  <c r="E44" i="7"/>
  <c r="E12" i="7"/>
  <c r="E6" i="7"/>
  <c r="E18" i="7"/>
  <c r="E3" i="7"/>
  <c r="E37" i="7"/>
  <c r="E21" i="7"/>
  <c r="E40" i="7"/>
  <c r="E24" i="7"/>
  <c r="E7" i="7"/>
  <c r="E35" i="7"/>
  <c r="E19" i="7"/>
  <c r="E46" i="7"/>
  <c r="E30" i="7"/>
  <c r="E14" i="7"/>
  <c r="E5" i="7"/>
  <c r="E33" i="7"/>
  <c r="E17" i="7"/>
  <c r="D29" i="7"/>
  <c r="D33" i="7"/>
  <c r="D37" i="7"/>
  <c r="D41" i="7"/>
  <c r="D45" i="7"/>
  <c r="D5" i="7"/>
  <c r="D3" i="7"/>
  <c r="D30" i="7"/>
  <c r="D34" i="7"/>
  <c r="D38" i="7"/>
  <c r="D42" i="7"/>
  <c r="D46" i="7"/>
  <c r="D15" i="7"/>
  <c r="D27" i="7"/>
  <c r="D31" i="7"/>
  <c r="D35" i="7"/>
  <c r="D39" i="7"/>
  <c r="D43" i="7"/>
  <c r="D47" i="7"/>
  <c r="D19" i="7"/>
  <c r="D28" i="7"/>
  <c r="D32" i="7"/>
  <c r="D36" i="7"/>
  <c r="D40" i="7"/>
  <c r="D44" i="7"/>
  <c r="D4" i="7"/>
  <c r="D23" i="7"/>
  <c r="D22" i="7"/>
  <c r="D6" i="7"/>
  <c r="D9" i="7"/>
  <c r="D12" i="7"/>
  <c r="D7" i="7"/>
  <c r="D10" i="7"/>
  <c r="D13" i="7"/>
  <c r="D16" i="7"/>
  <c r="D11" i="7"/>
  <c r="D18" i="7"/>
  <c r="D21" i="7"/>
  <c r="D24" i="7"/>
  <c r="D8" i="7"/>
  <c r="D25" i="7"/>
  <c r="D14" i="7"/>
  <c r="D17" i="7"/>
  <c r="D20" i="7"/>
  <c r="D26" i="7"/>
  <c r="E28" i="7"/>
  <c r="E39" i="7"/>
  <c r="E23" i="7"/>
  <c r="E34" i="7"/>
  <c r="C7" i="7"/>
  <c r="K7" i="7" s="1"/>
  <c r="C11" i="7"/>
  <c r="K11" i="7" s="1"/>
  <c r="C15" i="7"/>
  <c r="K15" i="7" s="1"/>
  <c r="C19" i="7"/>
  <c r="K19" i="7" s="1"/>
  <c r="C23" i="7"/>
  <c r="K23" i="7" s="1"/>
  <c r="C27" i="7"/>
  <c r="K27" i="7" s="1"/>
  <c r="C31" i="7"/>
  <c r="K31" i="7" s="1"/>
  <c r="C35" i="7"/>
  <c r="K35" i="7" s="1"/>
  <c r="C39" i="7"/>
  <c r="K39" i="7" s="1"/>
  <c r="C43" i="7"/>
  <c r="K43" i="7" s="1"/>
  <c r="C47" i="7"/>
  <c r="C4" i="7"/>
  <c r="K4" i="7" s="1"/>
  <c r="C8" i="7"/>
  <c r="K8" i="7" s="1"/>
  <c r="C12" i="7"/>
  <c r="K12" i="7" s="1"/>
  <c r="C16" i="7"/>
  <c r="K16" i="7" s="1"/>
  <c r="C20" i="7"/>
  <c r="K20" i="7" s="1"/>
  <c r="C24" i="7"/>
  <c r="K24" i="7" s="1"/>
  <c r="C28" i="7"/>
  <c r="K28" i="7" s="1"/>
  <c r="C32" i="7"/>
  <c r="K32" i="7" s="1"/>
  <c r="C36" i="7"/>
  <c r="K36" i="7" s="1"/>
  <c r="C40" i="7"/>
  <c r="K40" i="7" s="1"/>
  <c r="C44" i="7"/>
  <c r="K44" i="7" s="1"/>
  <c r="C3" i="7"/>
  <c r="K3" i="7" s="1"/>
  <c r="C5" i="7"/>
  <c r="K5" i="7" s="1"/>
  <c r="C9" i="7"/>
  <c r="K9" i="7" s="1"/>
  <c r="C13" i="7"/>
  <c r="K13" i="7" s="1"/>
  <c r="C17" i="7"/>
  <c r="K17" i="7" s="1"/>
  <c r="C21" i="7"/>
  <c r="K21" i="7" s="1"/>
  <c r="C25" i="7"/>
  <c r="K25" i="7" s="1"/>
  <c r="C29" i="7"/>
  <c r="K29" i="7" s="1"/>
  <c r="C33" i="7"/>
  <c r="K33" i="7" s="1"/>
  <c r="C37" i="7"/>
  <c r="K37" i="7" s="1"/>
  <c r="C41" i="7"/>
  <c r="K41" i="7" s="1"/>
  <c r="C45" i="7"/>
  <c r="K45" i="7" s="1"/>
  <c r="C6" i="7"/>
  <c r="K6" i="7" s="1"/>
  <c r="C10" i="7"/>
  <c r="K10" i="7" s="1"/>
  <c r="C14" i="7"/>
  <c r="K14" i="7" s="1"/>
  <c r="C18" i="7"/>
  <c r="K18" i="7" s="1"/>
  <c r="C22" i="7"/>
  <c r="K22" i="7" s="1"/>
  <c r="C26" i="7"/>
  <c r="K26" i="7" s="1"/>
  <c r="C30" i="7"/>
  <c r="K30" i="7" s="1"/>
  <c r="C34" i="7"/>
  <c r="K34" i="7" s="1"/>
  <c r="C38" i="7"/>
  <c r="K38" i="7" s="1"/>
  <c r="C42" i="7"/>
  <c r="K42" i="7" s="1"/>
  <c r="C46" i="7"/>
  <c r="K46" i="7" s="1"/>
  <c r="E8" i="7"/>
  <c r="E36" i="7"/>
  <c r="E20" i="7"/>
  <c r="E47" i="7"/>
  <c r="E31" i="7"/>
  <c r="E15" i="7"/>
  <c r="E42" i="7"/>
  <c r="E26" i="7"/>
  <c r="E10" i="7"/>
  <c r="E45" i="7"/>
  <c r="E29" i="7"/>
  <c r="E13" i="7"/>
  <c r="E43" i="7"/>
  <c r="E11" i="7"/>
  <c r="E38" i="7"/>
  <c r="E22" i="7"/>
  <c r="K93" i="2"/>
  <c r="L93" i="2" s="1"/>
  <c r="F51" i="2"/>
  <c r="H51" i="2" s="1"/>
  <c r="E41" i="7"/>
  <c r="E25" i="7"/>
  <c r="E9" i="7"/>
  <c r="B77" i="1"/>
  <c r="B80" i="1" s="1"/>
  <c r="B6" i="2" s="1"/>
  <c r="B7" i="2" s="1"/>
  <c r="B8" i="2" s="1"/>
  <c r="B76" i="1"/>
  <c r="D73" i="1"/>
  <c r="D50" i="7" l="1"/>
  <c r="D51" i="7" s="1"/>
  <c r="F51" i="7" s="1"/>
  <c r="B22" i="2"/>
  <c r="B23" i="2"/>
  <c r="B24" i="2" l="1"/>
  <c r="B3" i="3"/>
  <c r="B25" i="2"/>
  <c r="B4" i="3"/>
  <c r="B26" i="2"/>
  <c r="F25" i="2" l="1"/>
  <c r="G18" i="3"/>
  <c r="G26" i="3"/>
  <c r="G10" i="3"/>
  <c r="G20" i="3"/>
  <c r="G11" i="3"/>
  <c r="G9" i="3"/>
  <c r="G12" i="3"/>
  <c r="G25" i="3"/>
  <c r="G17" i="3"/>
  <c r="G23" i="3"/>
  <c r="G16" i="3"/>
  <c r="G14" i="3"/>
  <c r="G24" i="3"/>
  <c r="G19" i="3"/>
  <c r="G22" i="3"/>
  <c r="G21" i="3"/>
  <c r="G13" i="3"/>
  <c r="G15" i="3"/>
  <c r="F26" i="2"/>
  <c r="H17" i="3"/>
  <c r="H21" i="3"/>
  <c r="H9" i="3"/>
  <c r="H12" i="3"/>
  <c r="H15" i="3"/>
  <c r="H13" i="3"/>
  <c r="H16" i="3"/>
  <c r="H26" i="3"/>
  <c r="H10" i="3"/>
  <c r="H24" i="3"/>
  <c r="H11" i="3"/>
  <c r="H23" i="3"/>
  <c r="H18" i="3"/>
  <c r="H25" i="3"/>
  <c r="H20" i="3"/>
  <c r="H19" i="3"/>
  <c r="H14" i="3"/>
  <c r="H22" i="3"/>
  <c r="F2" i="7"/>
  <c r="H2" i="7" s="1"/>
  <c r="I2" i="7" s="1"/>
  <c r="F47" i="7"/>
  <c r="B16" i="2"/>
  <c r="F18" i="7"/>
  <c r="F40" i="7"/>
  <c r="F44" i="7"/>
  <c r="F6" i="7"/>
  <c r="F5" i="7"/>
  <c r="F10" i="7"/>
  <c r="F45" i="7"/>
  <c r="F34" i="7"/>
  <c r="F41" i="7"/>
  <c r="F36" i="7"/>
  <c r="F37" i="7"/>
  <c r="F13" i="7"/>
  <c r="F30" i="7"/>
  <c r="F15" i="7"/>
  <c r="F23" i="7"/>
  <c r="F38" i="7"/>
  <c r="F19" i="7"/>
  <c r="F24" i="7"/>
  <c r="F4" i="7"/>
  <c r="F33" i="7"/>
  <c r="F28" i="7"/>
  <c r="F8" i="7"/>
  <c r="F29" i="7"/>
  <c r="F17" i="7"/>
  <c r="F11" i="7"/>
  <c r="F9" i="7"/>
  <c r="F42" i="7"/>
  <c r="F46" i="7"/>
  <c r="F16" i="7"/>
  <c r="F32" i="7"/>
  <c r="F26" i="7"/>
  <c r="F39" i="7"/>
  <c r="F22" i="7"/>
  <c r="F20" i="7"/>
  <c r="F12" i="7"/>
  <c r="F31" i="7"/>
  <c r="F14" i="7"/>
  <c r="F43" i="7"/>
  <c r="F7" i="7"/>
  <c r="F3" i="7"/>
  <c r="F27" i="7"/>
  <c r="F25" i="7"/>
  <c r="F35" i="7"/>
  <c r="F21" i="7"/>
  <c r="B31" i="2"/>
  <c r="D31" i="2" s="1"/>
  <c r="F31" i="2" s="1"/>
  <c r="D26" i="2"/>
  <c r="B37" i="3"/>
  <c r="B27" i="2"/>
  <c r="B29" i="2"/>
  <c r="D29" i="2" s="1"/>
  <c r="F29" i="2" s="1"/>
  <c r="B31" i="3"/>
  <c r="D25" i="2"/>
  <c r="G2" i="7" l="1"/>
  <c r="D27" i="2"/>
  <c r="J27" i="2"/>
  <c r="H27" i="2"/>
  <c r="F27" i="2"/>
  <c r="F26" i="3"/>
  <c r="F20" i="3"/>
  <c r="F19" i="3"/>
  <c r="F24" i="3"/>
  <c r="F21" i="3"/>
  <c r="F13" i="3"/>
  <c r="F18" i="3"/>
  <c r="F14" i="3"/>
  <c r="F15" i="3"/>
  <c r="F9" i="3"/>
  <c r="F22" i="3"/>
  <c r="F10" i="3"/>
  <c r="F25" i="3"/>
  <c r="F17" i="3"/>
  <c r="F11" i="3"/>
  <c r="F12" i="3"/>
  <c r="F23" i="3"/>
  <c r="F16" i="3"/>
  <c r="B42" i="3"/>
  <c r="G35" i="7"/>
  <c r="H35" i="7"/>
  <c r="I35" i="7" s="1"/>
  <c r="H12" i="7"/>
  <c r="I12" i="7" s="1"/>
  <c r="G12" i="7"/>
  <c r="G42" i="7"/>
  <c r="H42" i="7"/>
  <c r="I42" i="7" s="1"/>
  <c r="G17" i="7"/>
  <c r="H17" i="7"/>
  <c r="I17" i="7" s="1"/>
  <c r="G33" i="7"/>
  <c r="H33" i="7"/>
  <c r="I33" i="7" s="1"/>
  <c r="G38" i="7"/>
  <c r="H38" i="7"/>
  <c r="I38" i="7" s="1"/>
  <c r="H13" i="7"/>
  <c r="I13" i="7" s="1"/>
  <c r="G13" i="7"/>
  <c r="G34" i="7"/>
  <c r="H34" i="7"/>
  <c r="I34" i="7" s="1"/>
  <c r="H6" i="7"/>
  <c r="I6" i="7" s="1"/>
  <c r="G6" i="7"/>
  <c r="H25" i="7"/>
  <c r="I25" i="7" s="1"/>
  <c r="G25" i="7"/>
  <c r="H43" i="7"/>
  <c r="I43" i="7" s="1"/>
  <c r="G43" i="7"/>
  <c r="G20" i="7"/>
  <c r="H20" i="7"/>
  <c r="I20" i="7" s="1"/>
  <c r="H32" i="7"/>
  <c r="I32" i="7" s="1"/>
  <c r="G32" i="7"/>
  <c r="G9" i="7"/>
  <c r="H9" i="7"/>
  <c r="I9" i="7" s="1"/>
  <c r="G29" i="7"/>
  <c r="H29" i="7"/>
  <c r="I29" i="7" s="1"/>
  <c r="G4" i="7"/>
  <c r="H4" i="7"/>
  <c r="I4" i="7" s="1"/>
  <c r="H23" i="7"/>
  <c r="I23" i="7" s="1"/>
  <c r="G23" i="7"/>
  <c r="H37" i="7"/>
  <c r="I37" i="7" s="1"/>
  <c r="G37" i="7"/>
  <c r="H45" i="7"/>
  <c r="I45" i="7" s="1"/>
  <c r="G45" i="7"/>
  <c r="H44" i="7"/>
  <c r="I44" i="7" s="1"/>
  <c r="G44" i="7"/>
  <c r="H7" i="7"/>
  <c r="I7" i="7" s="1"/>
  <c r="G7" i="7"/>
  <c r="H26" i="7"/>
  <c r="I26" i="7" s="1"/>
  <c r="B41" i="2" s="1"/>
  <c r="L15" i="7"/>
  <c r="G26" i="7"/>
  <c r="H27" i="7"/>
  <c r="I27" i="7" s="1"/>
  <c r="G27" i="7"/>
  <c r="H14" i="7"/>
  <c r="I14" i="7" s="1"/>
  <c r="G14" i="7"/>
  <c r="H22" i="7"/>
  <c r="I22" i="7" s="1"/>
  <c r="G22" i="7"/>
  <c r="H16" i="7"/>
  <c r="I16" i="7" s="1"/>
  <c r="G16" i="7"/>
  <c r="H11" i="7"/>
  <c r="I11" i="7" s="1"/>
  <c r="G11" i="7"/>
  <c r="G8" i="7"/>
  <c r="H8" i="7"/>
  <c r="I8" i="7" s="1"/>
  <c r="G24" i="7"/>
  <c r="H24" i="7"/>
  <c r="I24" i="7" s="1"/>
  <c r="H15" i="7"/>
  <c r="I15" i="7" s="1"/>
  <c r="G15" i="7"/>
  <c r="G36" i="7"/>
  <c r="H36" i="7"/>
  <c r="I36" i="7" s="1"/>
  <c r="H10" i="7"/>
  <c r="I10" i="7" s="1"/>
  <c r="G10" i="7"/>
  <c r="H40" i="7"/>
  <c r="I40" i="7" s="1"/>
  <c r="G40" i="7"/>
  <c r="H21" i="7"/>
  <c r="I21" i="7" s="1"/>
  <c r="G21" i="7"/>
  <c r="H3" i="7"/>
  <c r="I3" i="7" s="1"/>
  <c r="G3" i="7"/>
  <c r="G31" i="7"/>
  <c r="H31" i="7"/>
  <c r="I31" i="7" s="1"/>
  <c r="H39" i="7"/>
  <c r="I39" i="7" s="1"/>
  <c r="G39" i="7"/>
  <c r="H46" i="7"/>
  <c r="I46" i="7" s="1"/>
  <c r="G46" i="7"/>
  <c r="H47" i="7"/>
  <c r="I47" i="7" s="1"/>
  <c r="G47" i="7"/>
  <c r="H28" i="7"/>
  <c r="I28" i="7" s="1"/>
  <c r="G28" i="7"/>
  <c r="H19" i="7"/>
  <c r="I19" i="7" s="1"/>
  <c r="G19" i="7"/>
  <c r="G30" i="7"/>
  <c r="H30" i="7"/>
  <c r="I30" i="7" s="1"/>
  <c r="H41" i="7"/>
  <c r="I41" i="7" s="1"/>
  <c r="G41" i="7"/>
  <c r="H5" i="7"/>
  <c r="I5" i="7" s="1"/>
  <c r="G5" i="7"/>
  <c r="H18" i="7"/>
  <c r="I18" i="7" s="1"/>
  <c r="G18" i="7"/>
  <c r="D37" i="3"/>
  <c r="B39" i="3"/>
  <c r="D39" i="3" s="1"/>
  <c r="B33" i="3"/>
  <c r="D33" i="3" s="1"/>
  <c r="D31" i="3"/>
  <c r="D41" i="2" l="1"/>
  <c r="C93" i="2"/>
  <c r="C70" i="2" s="1"/>
  <c r="D70" i="2" s="1"/>
  <c r="E70" i="2" s="1"/>
  <c r="B42" i="2"/>
  <c r="B49" i="2"/>
  <c r="D49" i="2" s="1"/>
  <c r="F42" i="3"/>
  <c r="D42" i="3"/>
  <c r="C73" i="2"/>
  <c r="D73" i="2" s="1"/>
  <c r="E73" i="2" s="1"/>
  <c r="C71" i="2"/>
  <c r="D71" i="2" s="1"/>
  <c r="E71" i="2" s="1"/>
  <c r="C63" i="2"/>
  <c r="C88" i="2" l="1"/>
  <c r="C72" i="2"/>
  <c r="D72" i="2" s="1"/>
  <c r="E72" i="2" s="1"/>
  <c r="C83" i="2"/>
  <c r="D83" i="2" s="1"/>
  <c r="E83" i="2" s="1"/>
  <c r="C92" i="2"/>
  <c r="L92" i="2" s="1"/>
  <c r="K92" i="2" s="1"/>
  <c r="C67" i="2"/>
  <c r="D67" i="2" s="1"/>
  <c r="E67" i="2" s="1"/>
  <c r="F67" i="2" s="1"/>
  <c r="C78" i="2"/>
  <c r="D78" i="2" s="1"/>
  <c r="E78" i="2" s="1"/>
  <c r="F78" i="2" s="1"/>
  <c r="C79" i="2"/>
  <c r="D79" i="2" s="1"/>
  <c r="E79" i="2" s="1"/>
  <c r="C65" i="2"/>
  <c r="D65" i="2" s="1"/>
  <c r="E65" i="2" s="1"/>
  <c r="C87" i="2"/>
  <c r="L87" i="2" s="1"/>
  <c r="K87" i="2" s="1"/>
  <c r="C66" i="2"/>
  <c r="D66" i="2" s="1"/>
  <c r="E66" i="2" s="1"/>
  <c r="C77" i="2"/>
  <c r="D77" i="2" s="1"/>
  <c r="E77" i="2" s="1"/>
  <c r="C81" i="2"/>
  <c r="D81" i="2" s="1"/>
  <c r="E81" i="2" s="1"/>
  <c r="F81" i="2" s="1"/>
  <c r="C90" i="2"/>
  <c r="L90" i="2" s="1"/>
  <c r="K90" i="2" s="1"/>
  <c r="C64" i="2"/>
  <c r="D64" i="2" s="1"/>
  <c r="E64" i="2" s="1"/>
  <c r="C68" i="2"/>
  <c r="D68" i="2" s="1"/>
  <c r="E68" i="2" s="1"/>
  <c r="C89" i="2"/>
  <c r="D89" i="2" s="1"/>
  <c r="E89" i="2" s="1"/>
  <c r="F89" i="2" s="1"/>
  <c r="C84" i="2"/>
  <c r="D84" i="2" s="1"/>
  <c r="E84" i="2" s="1"/>
  <c r="F84" i="2" s="1"/>
  <c r="C80" i="2"/>
  <c r="D80" i="2" s="1"/>
  <c r="E80" i="2" s="1"/>
  <c r="F80" i="2" s="1"/>
  <c r="C75" i="2"/>
  <c r="D75" i="2" s="1"/>
  <c r="E75" i="2" s="1"/>
  <c r="C86" i="2"/>
  <c r="L86" i="2" s="1"/>
  <c r="K86" i="2" s="1"/>
  <c r="C85" i="2"/>
  <c r="L85" i="2" s="1"/>
  <c r="K85" i="2" s="1"/>
  <c r="C76" i="2"/>
  <c r="D76" i="2" s="1"/>
  <c r="E76" i="2" s="1"/>
  <c r="C74" i="2"/>
  <c r="D74" i="2" s="1"/>
  <c r="E74" i="2" s="1"/>
  <c r="F74" i="2" s="1"/>
  <c r="C82" i="2"/>
  <c r="D82" i="2" s="1"/>
  <c r="E82" i="2" s="1"/>
  <c r="C69" i="2"/>
  <c r="D69" i="2" s="1"/>
  <c r="E69" i="2" s="1"/>
  <c r="F69" i="2" s="1"/>
  <c r="D88" i="2"/>
  <c r="E88" i="2" s="1"/>
  <c r="L88" i="2"/>
  <c r="K88" i="2" s="1"/>
  <c r="D86" i="2"/>
  <c r="E86" i="2" s="1"/>
  <c r="F86" i="2" s="1"/>
  <c r="D90" i="2"/>
  <c r="E90" i="2" s="1"/>
  <c r="F90" i="2" s="1"/>
  <c r="B50" i="2"/>
  <c r="D50" i="2" s="1"/>
  <c r="D54" i="2" s="1"/>
  <c r="B4" i="2"/>
  <c r="B5" i="2" s="1"/>
  <c r="D93" i="2"/>
  <c r="E93" i="2" s="1"/>
  <c r="M73" i="2" s="1"/>
  <c r="C91" i="2"/>
  <c r="F88" i="2"/>
  <c r="F73" i="2"/>
  <c r="F72" i="2"/>
  <c r="F71" i="2"/>
  <c r="F83" i="2"/>
  <c r="F79" i="2"/>
  <c r="F64" i="2"/>
  <c r="F66" i="2"/>
  <c r="F77" i="2"/>
  <c r="F68" i="2"/>
  <c r="F75" i="2"/>
  <c r="D63" i="2"/>
  <c r="E63" i="2" s="1"/>
  <c r="K63" i="2"/>
  <c r="L63" i="2" s="1"/>
  <c r="F65" i="2"/>
  <c r="F70" i="2"/>
  <c r="M82" i="2" l="1"/>
  <c r="L89" i="2"/>
  <c r="K89" i="2" s="1"/>
  <c r="F82" i="2"/>
  <c r="D87" i="2"/>
  <c r="E87" i="2" s="1"/>
  <c r="F87" i="2" s="1"/>
  <c r="D85" i="2"/>
  <c r="E85" i="2" s="1"/>
  <c r="F85" i="2" s="1"/>
  <c r="D92" i="2"/>
  <c r="E92" i="2" s="1"/>
  <c r="F92" i="2" s="1"/>
  <c r="M84" i="2"/>
  <c r="M78" i="2"/>
  <c r="M70" i="2"/>
  <c r="M76" i="2"/>
  <c r="M67" i="2"/>
  <c r="M77" i="2"/>
  <c r="M65" i="2"/>
  <c r="M66" i="2"/>
  <c r="M79" i="2"/>
  <c r="F76" i="2"/>
  <c r="M90" i="2"/>
  <c r="M68" i="2"/>
  <c r="M69" i="2"/>
  <c r="M81" i="2"/>
  <c r="M64" i="2"/>
  <c r="M83" i="2"/>
  <c r="M75" i="2"/>
  <c r="M74" i="2"/>
  <c r="M72" i="2"/>
  <c r="M80" i="2"/>
  <c r="M88" i="2"/>
  <c r="M71" i="2"/>
  <c r="M86" i="2"/>
  <c r="M89" i="2"/>
  <c r="F93" i="2"/>
  <c r="M93" i="2"/>
  <c r="M62" i="2"/>
  <c r="D55" i="2"/>
  <c r="B54" i="2"/>
  <c r="D4" i="2"/>
  <c r="F4" i="2"/>
  <c r="D91" i="2"/>
  <c r="E91" i="2" s="1"/>
  <c r="L91" i="2"/>
  <c r="K91" i="2" s="1"/>
  <c r="F63" i="2"/>
  <c r="M63" i="2"/>
  <c r="M92" i="2" l="1"/>
  <c r="M85" i="2"/>
  <c r="M87" i="2"/>
  <c r="F5" i="2"/>
  <c r="D5" i="2"/>
  <c r="M91" i="2"/>
  <c r="F91" i="2"/>
  <c r="B55" i="2"/>
  <c r="C111" i="2" s="1"/>
  <c r="D56" i="2"/>
  <c r="B56" i="2" s="1"/>
  <c r="L111" i="2" l="1"/>
  <c r="D111" i="2"/>
  <c r="E111" i="2" s="1"/>
  <c r="C96" i="2"/>
  <c r="L96" i="2" l="1"/>
  <c r="K96" i="2" s="1"/>
  <c r="C97" i="2"/>
  <c r="D96" i="2"/>
  <c r="E96" i="2" s="1"/>
  <c r="F111" i="2"/>
  <c r="M111" i="2"/>
  <c r="L97" i="2" l="1"/>
  <c r="K97" i="2" s="1"/>
  <c r="D97" i="2"/>
  <c r="E97" i="2" s="1"/>
  <c r="C98" i="2"/>
  <c r="M96" i="2"/>
  <c r="F96" i="2"/>
  <c r="L98" i="2" l="1"/>
  <c r="K98" i="2" s="1"/>
  <c r="C99" i="2"/>
  <c r="D98" i="2"/>
  <c r="E98" i="2" s="1"/>
  <c r="M97" i="2"/>
  <c r="F97" i="2"/>
  <c r="F98" i="2" l="1"/>
  <c r="M98" i="2"/>
  <c r="L99" i="2"/>
  <c r="K99" i="2" s="1"/>
  <c r="C100" i="2"/>
  <c r="D99" i="2"/>
  <c r="E99" i="2" s="1"/>
  <c r="M99" i="2" l="1"/>
  <c r="F99" i="2"/>
  <c r="L100" i="2"/>
  <c r="C101" i="2"/>
  <c r="D100" i="2"/>
  <c r="E100" i="2" s="1"/>
  <c r="F100" i="2" l="1"/>
  <c r="M100" i="2"/>
  <c r="L101" i="2"/>
  <c r="D101" i="2"/>
  <c r="E101" i="2" s="1"/>
  <c r="C102" i="2"/>
  <c r="L102" i="2" l="1"/>
  <c r="C103" i="2"/>
  <c r="D102" i="2"/>
  <c r="E102" i="2" s="1"/>
  <c r="F101" i="2"/>
  <c r="M101" i="2"/>
  <c r="F102" i="2" l="1"/>
  <c r="M102" i="2"/>
  <c r="L103" i="2"/>
  <c r="D103" i="2"/>
  <c r="E103" i="2" s="1"/>
  <c r="C104" i="2"/>
  <c r="F103" i="2" l="1"/>
  <c r="M103" i="2"/>
  <c r="L104" i="2"/>
  <c r="C105" i="2"/>
  <c r="D104" i="2"/>
  <c r="E104" i="2" s="1"/>
  <c r="L105" i="2" l="1"/>
  <c r="C106" i="2"/>
  <c r="D105" i="2"/>
  <c r="E105" i="2" s="1"/>
  <c r="F104" i="2"/>
  <c r="M104" i="2"/>
  <c r="F105" i="2" l="1"/>
  <c r="M105" i="2"/>
  <c r="L106" i="2"/>
  <c r="K106" i="2" s="1"/>
  <c r="D106" i="2"/>
  <c r="E106" i="2" s="1"/>
  <c r="C107" i="2"/>
  <c r="K111" i="2"/>
  <c r="K101" i="2"/>
  <c r="K103" i="2"/>
  <c r="K105" i="2"/>
  <c r="K100" i="2"/>
  <c r="K102" i="2"/>
  <c r="K104" i="2"/>
  <c r="F106" i="2" l="1"/>
  <c r="M106" i="2"/>
  <c r="L107" i="2"/>
  <c r="K107" i="2" s="1"/>
  <c r="D107" i="2"/>
  <c r="E107" i="2" s="1"/>
  <c r="C108" i="2"/>
  <c r="F107" i="2" l="1"/>
  <c r="M107" i="2"/>
  <c r="L108" i="2"/>
  <c r="K108" i="2" s="1"/>
  <c r="D108" i="2"/>
  <c r="E108" i="2" s="1"/>
  <c r="C109" i="2"/>
  <c r="F108" i="2" l="1"/>
  <c r="M108" i="2"/>
  <c r="L109" i="2"/>
  <c r="K109" i="2" s="1"/>
  <c r="D109" i="2"/>
  <c r="E109" i="2" s="1"/>
  <c r="C110" i="2"/>
  <c r="F109" i="2" l="1"/>
  <c r="M109" i="2"/>
  <c r="L110" i="2"/>
  <c r="K110" i="2" s="1"/>
  <c r="D110" i="2"/>
  <c r="E110" i="2" s="1"/>
  <c r="F110" i="2" l="1"/>
  <c r="M110" i="2"/>
</calcChain>
</file>

<file path=xl/sharedStrings.xml><?xml version="1.0" encoding="utf-8"?>
<sst xmlns="http://schemas.openxmlformats.org/spreadsheetml/2006/main" count="1069" uniqueCount="553">
  <si>
    <t>Propellant Properties:</t>
  </si>
  <si>
    <t>LOX</t>
  </si>
  <si>
    <t>Density</t>
  </si>
  <si>
    <t>Heat of Combustion:</t>
  </si>
  <si>
    <t>Pure Ethanol</t>
  </si>
  <si>
    <t>Cp:</t>
  </si>
  <si>
    <t>Exhaust Gas Properties:</t>
  </si>
  <si>
    <t>CO2</t>
  </si>
  <si>
    <t>H2O</t>
  </si>
  <si>
    <t>kJ/(kg*K)</t>
  </si>
  <si>
    <t>Combustion Efficiency:</t>
  </si>
  <si>
    <t>kJ/mol</t>
  </si>
  <si>
    <t>*NOTE THAT THESE NUMBERS ARE ALL APPROXIMATE</t>
  </si>
  <si>
    <t>N/A</t>
  </si>
  <si>
    <t>Exhaust Gas Avg Cp:</t>
  </si>
  <si>
    <t>Delta-T:</t>
  </si>
  <si>
    <t>Combustion Parameters:</t>
  </si>
  <si>
    <t>kg/mol</t>
  </si>
  <si>
    <t>Boiling Point</t>
  </si>
  <si>
    <t>K</t>
  </si>
  <si>
    <t>m/s</t>
  </si>
  <si>
    <t>kJ/mol of Diluted Ethanol</t>
  </si>
  <si>
    <t>Molecular Mass:</t>
  </si>
  <si>
    <t>at 1500 K</t>
  </si>
  <si>
    <t>at 200 deg C</t>
  </si>
  <si>
    <t>Avg k:</t>
  </si>
  <si>
    <t>s</t>
  </si>
  <si>
    <t>lbf</t>
  </si>
  <si>
    <t>N</t>
  </si>
  <si>
    <t>kg</t>
  </si>
  <si>
    <t>Mass flow rate:</t>
  </si>
  <si>
    <t>kg/s</t>
  </si>
  <si>
    <t>Oxidizer Mass req'd:</t>
  </si>
  <si>
    <t>Fuel Mass req'd:</t>
  </si>
  <si>
    <t>Prop safety Margin</t>
  </si>
  <si>
    <t>dim</t>
  </si>
  <si>
    <t>Max Test duration</t>
  </si>
  <si>
    <t>Chamber Pressure:</t>
  </si>
  <si>
    <t>psi</t>
  </si>
  <si>
    <t>Supplier</t>
  </si>
  <si>
    <t>Number</t>
  </si>
  <si>
    <t>Total cost:</t>
  </si>
  <si>
    <t>Price</t>
  </si>
  <si>
    <t>Part/Service</t>
  </si>
  <si>
    <t>See "Engine Requirements" Tab</t>
  </si>
  <si>
    <t>Oxidizer Volum. Flow Rate:</t>
  </si>
  <si>
    <t>Fuel Volum. Flow Rate:</t>
  </si>
  <si>
    <t>m^3/s</t>
  </si>
  <si>
    <t>kg/m^3</t>
  </si>
  <si>
    <t>Liquid Water</t>
  </si>
  <si>
    <t>Net Fuel</t>
  </si>
  <si>
    <t>cm^3/s</t>
  </si>
  <si>
    <t>Ox holes per injector</t>
  </si>
  <si>
    <t>m</t>
  </si>
  <si>
    <t>Fuel holes per injector</t>
  </si>
  <si>
    <t>Fuel Injector hole diameter</t>
  </si>
  <si>
    <t>Oxidizer Injector hole diameter</t>
  </si>
  <si>
    <t>Ox injector velocity</t>
  </si>
  <si>
    <t>Fuel injector velocity</t>
  </si>
  <si>
    <t>cm</t>
  </si>
  <si>
    <t>Delta-P as percent of Chamb Press</t>
  </si>
  <si>
    <t>Exhaust gas Velocity:</t>
  </si>
  <si>
    <t>Thrust Coefficient</t>
  </si>
  <si>
    <t>in</t>
  </si>
  <si>
    <t>Fuel Volume Req'd:</t>
  </si>
  <si>
    <t>Oxidizer Volume Req'd</t>
  </si>
  <si>
    <t>m^3</t>
  </si>
  <si>
    <t>liters</t>
  </si>
  <si>
    <t>Quickcrete</t>
  </si>
  <si>
    <t>Ox injector Re</t>
  </si>
  <si>
    <t>mvl/v</t>
  </si>
  <si>
    <t>Target Thrust:</t>
  </si>
  <si>
    <t>Chamber Thrust:</t>
  </si>
  <si>
    <t>Throat Diameter</t>
  </si>
  <si>
    <t>in^2</t>
  </si>
  <si>
    <t>Throat Area At</t>
  </si>
  <si>
    <t>Chamber Details</t>
  </si>
  <si>
    <t>Theoretical Max Isp:</t>
  </si>
  <si>
    <t>Injector Stuff</t>
  </si>
  <si>
    <t>Nozzle Specs</t>
  </si>
  <si>
    <t>Test Stand:</t>
  </si>
  <si>
    <t>Parker Cryogenic Ball Valve</t>
  </si>
  <si>
    <t>NPT</t>
  </si>
  <si>
    <t>Parker</t>
  </si>
  <si>
    <t>Parker Relief Valve</t>
  </si>
  <si>
    <t>Mcmaster</t>
  </si>
  <si>
    <t>4757T161</t>
  </si>
  <si>
    <t>Mcmaster Cryogenic Relief Valve</t>
  </si>
  <si>
    <t>Material</t>
  </si>
  <si>
    <t>Brass</t>
  </si>
  <si>
    <t>Bronze</t>
  </si>
  <si>
    <t>Bronze, Stainless, Virgin PTFE</t>
  </si>
  <si>
    <t>Brass Threaded Pipe Fittings Cross</t>
  </si>
  <si>
    <t>Brass, PTFE</t>
  </si>
  <si>
    <t>49315K71</t>
  </si>
  <si>
    <t>Grainger</t>
  </si>
  <si>
    <t>Stainless Steel Pipe Schedule 40</t>
  </si>
  <si>
    <t>304 Stainless</t>
  </si>
  <si>
    <t>Part Number</t>
  </si>
  <si>
    <t>Use Description</t>
  </si>
  <si>
    <t>1XAR5</t>
  </si>
  <si>
    <t>Connects Vent valve to cross. 10 inch</t>
  </si>
  <si>
    <t>For Cryogenic side only</t>
  </si>
  <si>
    <t>Pressure Transducers</t>
  </si>
  <si>
    <t>Cryogenic Check Valve</t>
  </si>
  <si>
    <t>CG250SS</t>
  </si>
  <si>
    <t>Rego Products</t>
  </si>
  <si>
    <t>Might only need one….?</t>
  </si>
  <si>
    <t>Cryogenic check valve for feed system</t>
  </si>
  <si>
    <t>Max Pressure (PSI)</t>
  </si>
  <si>
    <t>up to 450</t>
  </si>
  <si>
    <t>Flasback Arrestors??????</t>
  </si>
  <si>
    <t>Regulator</t>
  </si>
  <si>
    <t>ft^3</t>
  </si>
  <si>
    <t>At System Pressure, not including Pneumatics</t>
  </si>
  <si>
    <t>Inches</t>
  </si>
  <si>
    <t>Fuel Tank Depth Required</t>
  </si>
  <si>
    <t>Fuel Tank Stuff:</t>
  </si>
  <si>
    <t>Oxidizer Tank Depth Required</t>
  </si>
  <si>
    <t>Oxidizer Tank Stuff:</t>
  </si>
  <si>
    <t>Feed System Stuff</t>
  </si>
  <si>
    <t>Online Metals</t>
  </si>
  <si>
    <t>4" OD pipe 12" Aluminum</t>
  </si>
  <si>
    <t>Sharpe Products</t>
  </si>
  <si>
    <t>4" Aluminum 10 Guage End Cap</t>
  </si>
  <si>
    <t>Weld-on Port?</t>
  </si>
  <si>
    <t>Subtotal:</t>
  </si>
  <si>
    <t>NEEDS ANALYSIS</t>
  </si>
  <si>
    <t>4" Aluminum Tanks Option 1:</t>
  </si>
  <si>
    <t>aceraceparts.com</t>
  </si>
  <si>
    <t>6061 Aluminum</t>
  </si>
  <si>
    <t>I'm concerned about this because I think the weld-on port was intended for welding onto pipes.</t>
  </si>
  <si>
    <t>Double check this number with Fluid Mechanics</t>
  </si>
  <si>
    <t>Fuel Tank Inner Diameter</t>
  </si>
  <si>
    <t>Oxidizer Tank Inner Diameter</t>
  </si>
  <si>
    <t>Gas Volum Req'd by Engine:</t>
  </si>
  <si>
    <t>Welding???????</t>
  </si>
  <si>
    <t>??????</t>
  </si>
  <si>
    <t>Steel 304</t>
  </si>
  <si>
    <t>Ultimate Tensile Strength</t>
  </si>
  <si>
    <t>Max Service Pressure:</t>
  </si>
  <si>
    <t>PSI</t>
  </si>
  <si>
    <t>"Typical" Yield Strenth:</t>
  </si>
  <si>
    <t>Mpa</t>
  </si>
  <si>
    <t>MPa</t>
  </si>
  <si>
    <t>Source:</t>
  </si>
  <si>
    <t>Matweb</t>
  </si>
  <si>
    <t>ksi</t>
  </si>
  <si>
    <t>Pa</t>
  </si>
  <si>
    <t>Aluminum 6061-O, assuming T6 is lost in the welding process</t>
  </si>
  <si>
    <t>Tank inner diameter:</t>
  </si>
  <si>
    <t>Wall thickness:</t>
  </si>
  <si>
    <t>dim.</t>
  </si>
  <si>
    <t>Proof Pressure Factor of Safety:</t>
  </si>
  <si>
    <t>Proof Pressure Margin of Safety:</t>
  </si>
  <si>
    <t>MMPDS</t>
  </si>
  <si>
    <t>Proof Pressure:</t>
  </si>
  <si>
    <t>Burst Pressure:`</t>
  </si>
  <si>
    <t>Service Pressure Factor of Safety:</t>
  </si>
  <si>
    <t>Service Pressure Margin of Safety:</t>
  </si>
  <si>
    <t>Burst Pressure Factor of Safety:</t>
  </si>
  <si>
    <t>Burst Pressure Margin of Safety:</t>
  </si>
  <si>
    <r>
      <rPr>
        <b/>
        <sz val="11"/>
        <color theme="1"/>
        <rFont val="Calibri"/>
        <family val="2"/>
        <scheme val="minor"/>
      </rPr>
      <t>Service</t>
    </r>
    <r>
      <rPr>
        <sz val="11"/>
        <color theme="1"/>
        <rFont val="Calibri"/>
        <family val="2"/>
        <scheme val="minor"/>
      </rPr>
      <t xml:space="preserve"> Pressure Hoop Stress:</t>
    </r>
  </si>
  <si>
    <r>
      <rPr>
        <b/>
        <sz val="11"/>
        <color theme="1"/>
        <rFont val="Calibri"/>
        <family val="2"/>
        <scheme val="minor"/>
      </rPr>
      <t>Proof</t>
    </r>
    <r>
      <rPr>
        <sz val="11"/>
        <color theme="1"/>
        <rFont val="Calibri"/>
        <family val="2"/>
        <scheme val="minor"/>
      </rPr>
      <t xml:space="preserve"> Pressure Hoop Stress:</t>
    </r>
  </si>
  <si>
    <r>
      <rPr>
        <b/>
        <sz val="11"/>
        <color theme="1"/>
        <rFont val="Calibri"/>
        <family val="2"/>
        <scheme val="minor"/>
      </rPr>
      <t>Burst</t>
    </r>
    <r>
      <rPr>
        <sz val="11"/>
        <color theme="1"/>
        <rFont val="Calibri"/>
        <family val="2"/>
        <scheme val="minor"/>
      </rPr>
      <t xml:space="preserve"> Pressure Hoop Stress:</t>
    </r>
  </si>
  <si>
    <t>Stress on End cap</t>
  </si>
  <si>
    <t>Service Longitudinal Stress:</t>
  </si>
  <si>
    <t>Proof Longitudinal Stress:</t>
  </si>
  <si>
    <t>Proof Factor of Safety:</t>
  </si>
  <si>
    <t>Proof Margin of Safety:</t>
  </si>
  <si>
    <t>Burst Factor of Safety:</t>
  </si>
  <si>
    <t>Burst Margin of Safety:</t>
  </si>
  <si>
    <t>Service Factor of Safety:</t>
  </si>
  <si>
    <t>Service Margin of Safety:</t>
  </si>
  <si>
    <t>Burst Longitudinal Stress:</t>
  </si>
  <si>
    <t>Generalized  Prop Tank Analysis ---NOTE THAT I ASSUMED THIN WALLS, WHICH IS NOT A GREAT ASSUMPTION IN THIS CASE.</t>
  </si>
  <si>
    <t>Longitudinal Stress</t>
  </si>
  <si>
    <t>10 guage is probably too thin</t>
  </si>
  <si>
    <t>Parker Swing CheckValve</t>
  </si>
  <si>
    <t>Better flow characteristics</t>
  </si>
  <si>
    <t>Parker Lift check Valve</t>
  </si>
  <si>
    <t>Less-good flow characteristics</t>
  </si>
  <si>
    <t>Structure:</t>
  </si>
  <si>
    <t xml:space="preserve"> </t>
  </si>
  <si>
    <t>Cryogenic System</t>
  </si>
  <si>
    <t>Feed System</t>
  </si>
  <si>
    <t>22 Cu ft. Aluminum Cylinder</t>
  </si>
  <si>
    <t>20 cu ft Steel Cylinder</t>
  </si>
  <si>
    <t>beverage elements</t>
  </si>
  <si>
    <t>23 cu ft Steel Cylinder - Recertified</t>
  </si>
  <si>
    <t>Fuel System</t>
  </si>
  <si>
    <t>Weight lbs</t>
  </si>
  <si>
    <t>Extra Equipment:</t>
  </si>
  <si>
    <t>Flaring Tool</t>
  </si>
  <si>
    <t>Tube De-burring tool</t>
  </si>
  <si>
    <t>Ultrasonic Cleaner</t>
  </si>
  <si>
    <t>SS-L63TS8</t>
  </si>
  <si>
    <t>Swagelok</t>
  </si>
  <si>
    <t>Swagelok Low temp Ball valve, Swagelok fittings</t>
  </si>
  <si>
    <t>Swagelok Low temp Ball valve, NPT</t>
  </si>
  <si>
    <t>SS-L63TF8</t>
  </si>
  <si>
    <t>Gasoila Green PTFE Thread Tape</t>
  </si>
  <si>
    <t>GT90-24</t>
  </si>
  <si>
    <t>Amazon</t>
  </si>
  <si>
    <t>Prop Tanks</t>
  </si>
  <si>
    <t>Engine</t>
  </si>
  <si>
    <t>CGA to NPT adaptor</t>
  </si>
  <si>
    <t>Pressure Transducer</t>
  </si>
  <si>
    <t>Relief Valves</t>
  </si>
  <si>
    <t>NPT Crosses</t>
  </si>
  <si>
    <t>Tank Vent Valve</t>
  </si>
  <si>
    <t>10" Pipe or other connection</t>
  </si>
  <si>
    <t>NPT to AN or Swagelok fittings</t>
  </si>
  <si>
    <t>Could be more</t>
  </si>
  <si>
    <t>AN or Swagelok Tee</t>
  </si>
  <si>
    <t>NPT or Swagelok Cryogenic Valve</t>
  </si>
  <si>
    <t>Cryogenic Check Valve or flashback arrestor?</t>
  </si>
  <si>
    <t>Connections to Engine?</t>
  </si>
  <si>
    <t>Ethanol-Compatible Ball Valve</t>
  </si>
  <si>
    <t>Possible 37 degree Flaring tool</t>
  </si>
  <si>
    <t>Tube de-burring tool</t>
  </si>
  <si>
    <t>Tube cutting tool</t>
  </si>
  <si>
    <t>Ethanol-compatible Check Valve or Flashback arrestor</t>
  </si>
  <si>
    <t>Connections to engine?</t>
  </si>
  <si>
    <t>Tank Walls</t>
  </si>
  <si>
    <t>Tank Domes</t>
  </si>
  <si>
    <t>Weld-on Fittings</t>
  </si>
  <si>
    <t>Welding</t>
  </si>
  <si>
    <t>Nozzle Material</t>
  </si>
  <si>
    <t>Chamber Material</t>
  </si>
  <si>
    <t>Tools for machining the Injector</t>
  </si>
  <si>
    <t>Tools for Machining entrance ports</t>
  </si>
  <si>
    <t>Pneumatic System</t>
  </si>
  <si>
    <t>17-25</t>
  </si>
  <si>
    <t>NPT/Pneumatic Fittings</t>
  </si>
  <si>
    <t>Pneumatic Splitter</t>
  </si>
  <si>
    <t>Pneumatic Line</t>
  </si>
  <si>
    <t>Data Acquisition:</t>
  </si>
  <si>
    <t>Onsite Data-Acquisition Microcontroller</t>
  </si>
  <si>
    <t>Batteries</t>
  </si>
  <si>
    <t>Microswitches or Potentiometers/String Pots.</t>
  </si>
  <si>
    <t>Control Panel</t>
  </si>
  <si>
    <t>Wireless Tx/Rx?</t>
  </si>
  <si>
    <t>Wheels?</t>
  </si>
  <si>
    <t>Mounting Straps or Stakes?</t>
  </si>
  <si>
    <t>Ox injector Target delta-P</t>
  </si>
  <si>
    <t>Fuel injector Target delta-P</t>
  </si>
  <si>
    <t>Target Flow Supply Pressure</t>
  </si>
  <si>
    <t>Pulled from RPA. I don't know how accurate it is</t>
  </si>
  <si>
    <t>k_CO2:</t>
  </si>
  <si>
    <t>k_H2O:</t>
  </si>
  <si>
    <t>kg of ethanol/kg total fuel. Rest is water</t>
  </si>
  <si>
    <t>Target Mixture Ratio:</t>
  </si>
  <si>
    <t>Ethanol Purity by mass:</t>
  </si>
  <si>
    <t>From Internet</t>
  </si>
  <si>
    <t>Amount of Ethanol Per kg of Fuel</t>
  </si>
  <si>
    <t>Amount of Water Per kg of Fuel</t>
  </si>
  <si>
    <t>mol</t>
  </si>
  <si>
    <t>From the Balanced Stochiometric Chemical Equation</t>
  </si>
  <si>
    <t>mol of CO2 per mol of ethanol</t>
  </si>
  <si>
    <t>mol of water per mol of ethanol</t>
  </si>
  <si>
    <t>kg O2/kg fuel</t>
  </si>
  <si>
    <t>kg_O2/kg_Fuel</t>
  </si>
  <si>
    <t>Theoretical:</t>
  </si>
  <si>
    <t>XH2O + YC2H5OH + ZO2 + (C2H5OH + O2) → (2CO2 + 3H2O) + XH20 + YC2H5OH + ZO2</t>
  </si>
  <si>
    <t>Amount of Extra Ethanol (Y)</t>
  </si>
  <si>
    <t>Amount of Extra O2 (Z)</t>
  </si>
  <si>
    <t>Net Chemical Equation, Including Extras:</t>
  </si>
  <si>
    <t>Products for a kg of fuel</t>
  </si>
  <si>
    <t>Amount of Combustion-product H2O:</t>
  </si>
  <si>
    <t>Amount of combustion-product CO2:</t>
  </si>
  <si>
    <t>Total Water:</t>
  </si>
  <si>
    <t>Extra O2 (Z)</t>
  </si>
  <si>
    <t>Extra Ethanol: (Y)</t>
  </si>
  <si>
    <t>CO2:</t>
  </si>
  <si>
    <t>Total Exhaust Gases:</t>
  </si>
  <si>
    <t>Total Amount of O2</t>
  </si>
  <si>
    <t>Total Amount of fuel</t>
  </si>
  <si>
    <t>Contents:</t>
  </si>
  <si>
    <t>Propellants at current Mixture Ratio:</t>
  </si>
  <si>
    <t>Total Mass:</t>
  </si>
  <si>
    <t>Combustion Oxygen:</t>
  </si>
  <si>
    <t>Total Amount of ethanol:</t>
  </si>
  <si>
    <t>Combustion Ethanol:</t>
  </si>
  <si>
    <t>Amount of Extra water (X)</t>
  </si>
  <si>
    <t>Molar Mass: (Assuming O2)</t>
  </si>
  <si>
    <t>Ensure this stays updated. Only Positive if engine runs fuel Rich</t>
  </si>
  <si>
    <t>Ensure this stays updated. Only 0 if engine runs fuel rich.</t>
  </si>
  <si>
    <t>Combusting Mass:</t>
  </si>
  <si>
    <t>This is used as a check for my calculations. Should be Equal to B36</t>
  </si>
  <si>
    <t>This is used as a check for my calculations.  Should be Equal to B26</t>
  </si>
  <si>
    <t>This is used as a check for my calculations. Should be Equal to B41</t>
  </si>
  <si>
    <t>Ensure this stays updated. Probably only true if Engine runs Fuel Rich</t>
  </si>
  <si>
    <t>Mol_CO2/total Mol:</t>
  </si>
  <si>
    <t>MOL_H2O/Mol_total:</t>
  </si>
  <si>
    <t>Mol_Extra_Ethanol/Mol_total:</t>
  </si>
  <si>
    <t>k_Ethanol</t>
  </si>
  <si>
    <t>Weighted Average Molecuar Mass:</t>
  </si>
  <si>
    <t>Universal Gas Constant (R')</t>
  </si>
  <si>
    <t>Average Exhaust Gas Constant (R)</t>
  </si>
  <si>
    <t>J/(K*kg)</t>
  </si>
  <si>
    <t>J/(K*Mol)</t>
  </si>
  <si>
    <t>Ethanol</t>
  </si>
  <si>
    <t>kJ/mol*K</t>
  </si>
  <si>
    <t>This is the number from engineering toolbox, and might need checked for the temperature at which it is valid.</t>
  </si>
  <si>
    <t>kJ/(mol*K) Total Exhaust Gases</t>
  </si>
  <si>
    <t>J/(mol*K)</t>
  </si>
  <si>
    <t>Equation 3-16 from Rocket Propulsion Elements</t>
  </si>
  <si>
    <t>K/(kg/mol)</t>
  </si>
  <si>
    <t>Exhaust Gas Velocity (Ve)</t>
  </si>
  <si>
    <t>Ambient Air Pressure</t>
  </si>
  <si>
    <t>kPa</t>
  </si>
  <si>
    <t>Psi</t>
  </si>
  <si>
    <t>Gravitational Acceleration</t>
  </si>
  <si>
    <t>Performance Calculations:</t>
  </si>
  <si>
    <t>Throat Conditions:</t>
  </si>
  <si>
    <t>Assumed Mach number:</t>
  </si>
  <si>
    <t>Assumed Throat Diameter:</t>
  </si>
  <si>
    <t>m^2</t>
  </si>
  <si>
    <t>Assumed Throat Area: (At)</t>
  </si>
  <si>
    <t>T/avg_molecular_mass</t>
  </si>
  <si>
    <t>Exhaust Gas Velocity Mach Number</t>
  </si>
  <si>
    <t>m/s^2</t>
  </si>
  <si>
    <t>Max, Ideal Theoretical Isp:</t>
  </si>
  <si>
    <t>Nozzle Outlet Area: (A2)</t>
  </si>
  <si>
    <t>Nozzle Outlet Diameter:</t>
  </si>
  <si>
    <t>"Play" Engine Chamber Structural Analysis:</t>
  </si>
  <si>
    <t>Chamber inner diameter:</t>
  </si>
  <si>
    <t>Overpressure Factor:</t>
  </si>
  <si>
    <t>cm^3</t>
  </si>
  <si>
    <t>Specific Volume:</t>
  </si>
  <si>
    <t>Total Volumetric Flow Rate:</t>
  </si>
  <si>
    <t>Versa-Mount Precision Compressed Air Regulators</t>
  </si>
  <si>
    <t>Mcmaster-Carr</t>
  </si>
  <si>
    <t>1810T2</t>
  </si>
  <si>
    <t>Feed Pressure. Might need to check that this would work…</t>
  </si>
  <si>
    <t>45 deg Flared SAE Male Outlet Pressure Regulator</t>
  </si>
  <si>
    <t>66325A23</t>
  </si>
  <si>
    <t>Panel-Mount High-Pressure-Regulating Valve</t>
  </si>
  <si>
    <t>3811T11</t>
  </si>
  <si>
    <t>7822A11</t>
  </si>
  <si>
    <t>Steel</t>
  </si>
  <si>
    <t>N2 Tank option</t>
  </si>
  <si>
    <t>HP20 Tank</t>
  </si>
  <si>
    <t>Nozzle Outlet:</t>
  </si>
  <si>
    <t>Update please</t>
  </si>
  <si>
    <t>Distance from Throat to Outlet:</t>
  </si>
  <si>
    <t>Heat Transfer Analysis</t>
  </si>
  <si>
    <t>Assuming 1-D flow, I will try to calculate the flow properties along each station in the engine, just like I did with finding the nozzle exit area.</t>
  </si>
  <si>
    <t>Station:</t>
  </si>
  <si>
    <t>Chamber</t>
  </si>
  <si>
    <t>Engine O.D.</t>
  </si>
  <si>
    <t>Distance from Chamber to Throat</t>
  </si>
  <si>
    <t>Chamber I.D.</t>
  </si>
  <si>
    <t>Cylindrical Chamber Length</t>
  </si>
  <si>
    <t>Chamber Volume incl. Conv nozzle</t>
  </si>
  <si>
    <t>Distance from "Chamber:"</t>
  </si>
  <si>
    <t>Nozzle Diameter</t>
  </si>
  <si>
    <t>Throat</t>
  </si>
  <si>
    <t>1-D Analysis Interval:</t>
  </si>
  <si>
    <t>Radius</t>
  </si>
  <si>
    <t>Delta Temperature (K)</t>
  </si>
  <si>
    <t>Velocity</t>
  </si>
  <si>
    <t>Mach</t>
  </si>
  <si>
    <t>Area: (in^2)</t>
  </si>
  <si>
    <t>Area (m^2)</t>
  </si>
  <si>
    <t>Estimated Thrust Coefficient:</t>
  </si>
  <si>
    <t>Estimated Actual Thrust:</t>
  </si>
  <si>
    <t>Pressure (Pa)</t>
  </si>
  <si>
    <t>Specific Vol m^3/kg</t>
  </si>
  <si>
    <t>Divergent Section:</t>
  </si>
  <si>
    <t>Outlet</t>
  </si>
  <si>
    <t>Throat Pressure</t>
  </si>
  <si>
    <t>Pressure (kPa)</t>
  </si>
  <si>
    <t>Temperature (K)</t>
  </si>
  <si>
    <t>Total Mass Flow Rate:</t>
  </si>
  <si>
    <t>Fuel Mass Flow Rate:</t>
  </si>
  <si>
    <t>Oxidizer Mass Flow Rate:</t>
  </si>
  <si>
    <t>Area: (m^2)</t>
  </si>
  <si>
    <t>Diameter: (in)</t>
  </si>
  <si>
    <t>Diameter: (m)</t>
  </si>
  <si>
    <t>Mach: (m/s)</t>
  </si>
  <si>
    <t>Average Specific Vol:</t>
  </si>
  <si>
    <t>THROAT</t>
  </si>
  <si>
    <t>ms</t>
  </si>
  <si>
    <t>Flo-tite Cryogenic Valve</t>
  </si>
  <si>
    <t>Flo-Tite</t>
  </si>
  <si>
    <t>Area Ratio (A/At)</t>
  </si>
  <si>
    <t>V2 (m/s)</t>
  </si>
  <si>
    <t>Rough Design-Chamb Vol:</t>
  </si>
  <si>
    <t>in^3</t>
  </si>
  <si>
    <t>Possible design I.D.</t>
  </si>
  <si>
    <t>Design Stay Time:</t>
  </si>
  <si>
    <t>1 foot cross-members</t>
  </si>
  <si>
    <t>4 foot long-members</t>
  </si>
  <si>
    <t>4664T18</t>
  </si>
  <si>
    <t>Zinc-plated Steel</t>
  </si>
  <si>
    <t>L-Shaped Rail 1.5x1.5</t>
  </si>
  <si>
    <t>HARD Total:</t>
  </si>
  <si>
    <t>Optional Divider Plate?</t>
  </si>
  <si>
    <t>TBD</t>
  </si>
  <si>
    <t>McMaster 91309A621</t>
  </si>
  <si>
    <t>3/8 diameter 5/8" bolt</t>
  </si>
  <si>
    <t>3/8" nuts</t>
  </si>
  <si>
    <t>Line OD</t>
  </si>
  <si>
    <t>Line ID</t>
  </si>
  <si>
    <t>Wall Thickness</t>
  </si>
  <si>
    <t>Ox Flow Velocity</t>
  </si>
  <si>
    <t>Fuel Flow Velocity</t>
  </si>
  <si>
    <t>Area (in^2)</t>
  </si>
  <si>
    <t>in^3/s</t>
  </si>
  <si>
    <t>Feed Flow Velocity  (m/s)</t>
  </si>
  <si>
    <t>Stress Pressure</t>
  </si>
  <si>
    <t>Wall Stress (MPa)</t>
  </si>
  <si>
    <t>m^3/h</t>
  </si>
  <si>
    <t>GPM</t>
  </si>
  <si>
    <t>Aluminum "D" Cylinder Option:</t>
  </si>
  <si>
    <t>D Cylinder</t>
  </si>
  <si>
    <t>Newegg</t>
  </si>
  <si>
    <t>Main Prop Tank Option</t>
  </si>
  <si>
    <t>?????????</t>
  </si>
  <si>
    <t>Makerspace:</t>
  </si>
  <si>
    <t>Manufactory</t>
  </si>
  <si>
    <t>Cincinnati</t>
  </si>
  <si>
    <t>Buildmore workshop</t>
  </si>
  <si>
    <t>Dublin, OH</t>
  </si>
  <si>
    <t>tbd</t>
  </si>
  <si>
    <t>Idea Foundry - Workshop</t>
  </si>
  <si>
    <t>Columbus</t>
  </si>
  <si>
    <t>Location:</t>
  </si>
  <si>
    <t>Pros:</t>
  </si>
  <si>
    <t>Cons:</t>
  </si>
  <si>
    <t>It's cheaper, could live with lauren,</t>
  </si>
  <si>
    <t>Not as many tools</t>
  </si>
  <si>
    <t xml:space="preserve">It's in cincy. </t>
  </si>
  <si>
    <t>It's in columbus. Tbd</t>
  </si>
  <si>
    <t>30 bucks/hour</t>
  </si>
  <si>
    <t>Price per month</t>
  </si>
  <si>
    <t>Lots of tools. They have CNC mill.</t>
  </si>
  <si>
    <t>Material Properties:</t>
  </si>
  <si>
    <t>Aluminum 6061-T6 Room Temp</t>
  </si>
  <si>
    <t>Yield Stress</t>
  </si>
  <si>
    <t>Ksi</t>
  </si>
  <si>
    <t>Ultimate</t>
  </si>
  <si>
    <t>Connects Regulator to Cross</t>
  </si>
  <si>
    <t>Non-Cryogenic Check Valve</t>
  </si>
  <si>
    <t>Pipe or NPT to NPT adaptor</t>
  </si>
  <si>
    <t>Cryogenic Pressure Transducer</t>
  </si>
  <si>
    <t>5482K77</t>
  </si>
  <si>
    <t>1/2" AN Sleeve</t>
  </si>
  <si>
    <t>5482K84</t>
  </si>
  <si>
    <t>1/2" Swagelok to NPT adaptor</t>
  </si>
  <si>
    <t>SS-810-1-8</t>
  </si>
  <si>
    <t>3/8" Swagelok Tee</t>
  </si>
  <si>
    <t>1/2" Swagelok Tee</t>
  </si>
  <si>
    <t>1/2" AN to NPT adaptor</t>
  </si>
  <si>
    <t>1/2" AN Nuts</t>
  </si>
  <si>
    <t>3/8" Swagelok to 1/2" NPT adaptor</t>
  </si>
  <si>
    <t>1/2" Swagelok Option:</t>
  </si>
  <si>
    <t>3/8" Swagelok Option:</t>
  </si>
  <si>
    <t>3/8" Swagelok to 1/4" NPT adaptor</t>
  </si>
  <si>
    <t>1/2" Swagelok to 1/4" NPT adaptor</t>
  </si>
  <si>
    <t>3/8" Swagelok to 3/8" NPT adaptor</t>
  </si>
  <si>
    <t>There might be 4</t>
  </si>
  <si>
    <t>Total:</t>
  </si>
  <si>
    <t>SS-810-1-4</t>
  </si>
  <si>
    <t>SS-810-3</t>
  </si>
  <si>
    <t>1/2" AN Option:</t>
  </si>
  <si>
    <t>1/2" AN to NPT Tee Adaptor</t>
  </si>
  <si>
    <t>There might be 3</t>
  </si>
  <si>
    <t>5482K54</t>
  </si>
  <si>
    <t>5482K18</t>
  </si>
  <si>
    <t>3/8" AN Option:</t>
  </si>
  <si>
    <t>3/8" AN Nuts</t>
  </si>
  <si>
    <t>3/8" AN Sleeve</t>
  </si>
  <si>
    <t>3/8" AN to NPT Tee Adaptor</t>
  </si>
  <si>
    <t>3/8" AN to NPT adaptor</t>
  </si>
  <si>
    <t>There might be 6?</t>
  </si>
  <si>
    <t>Fuel-Compatible Check valve</t>
  </si>
  <si>
    <t>Fuel compatible Pressure Transducer</t>
  </si>
  <si>
    <t>10" pipe or other connection. May need revision: how am I connecting crosses?</t>
  </si>
  <si>
    <t>Connection from Feed to tank line</t>
  </si>
  <si>
    <t>NPT to AN/Swagelok adapters</t>
  </si>
  <si>
    <t>Connection(s) to ball valves</t>
  </si>
  <si>
    <t>Ethanol-Compatible Check Valve</t>
  </si>
  <si>
    <t>Cross</t>
  </si>
  <si>
    <t>IS THIS EVEN GOING TO WORK WITH FUEL?</t>
  </si>
  <si>
    <t>Probably won't work</t>
  </si>
  <si>
    <t>CAN THIS BE NON-CRYOGENIC? FIND A CHEAPER OPTION!!!</t>
  </si>
  <si>
    <t>Connects crosses to tank supply line</t>
  </si>
  <si>
    <t>Connects supply line to tank and prop line to tank</t>
  </si>
  <si>
    <t>Connects prop lines to ball valves. (There might be 4)</t>
  </si>
  <si>
    <t>Price is per month. Quantity is estimated months</t>
  </si>
  <si>
    <t>Classes Required</t>
  </si>
  <si>
    <t>Price is an estimate per class. Could be very wrong.</t>
  </si>
  <si>
    <t>Other Tools:</t>
  </si>
  <si>
    <t>IS THIS EVEN GOING TO WORK WITH OXYGEN AT CRYO TEMPERATURES? What size?</t>
  </si>
  <si>
    <t>Stainless Steel BP Regulator 1/4" NPTF 500 PSI</t>
  </si>
  <si>
    <t>N2 Pressure Regulator CGA-580 0-500 psi</t>
  </si>
  <si>
    <t>Brass, Neoprene</t>
  </si>
  <si>
    <t>Cv = .17</t>
  </si>
  <si>
    <t>This could change. Definitely. Cv = .17</t>
  </si>
  <si>
    <t>5KZ42</t>
  </si>
  <si>
    <t>Pneumatic System:</t>
  </si>
  <si>
    <t>ebay</t>
  </si>
  <si>
    <t>Argon CO2 Regulator CGA 580</t>
  </si>
  <si>
    <t>https://www.ebay.com/itm/NEW-Argon-CO2-Regulator-Gas-Flow-Pressure-Gauge-MIG-TIG-Welding-CGA580-TOP/352887992853?hash=item5229c37215:g:q9wAAOSwwVdd8ZSI</t>
  </si>
  <si>
    <t>3/8" Swagelok Low temp Ball valve, Swagelok fittings</t>
  </si>
  <si>
    <t>NITRA solenoid valve 5-port/2-position</t>
  </si>
  <si>
    <t>automation direct</t>
  </si>
  <si>
    <t>AVS-5312-24D</t>
  </si>
  <si>
    <t>https://www.automationdirect.com/adc/shopping/catalog/pneumatic_components/pneumatic_solenoid_directional_control_valves_-a-_accessories/5-port_(4-way),_2-pos.,_body_ported_-z-_manifold_(avs-5,am_series)/avs-5312-24d?gclid=CjwKCAiA4Y7yBRB8EiwADV1habD_SbEe2RJpYAjn4iKfgaApzAHAxhHZLR9NOJrPUy1lFEvuAuS0-RoC8GsQAvD_BwE</t>
  </si>
  <si>
    <t>MSCDirect</t>
  </si>
  <si>
    <t>1 inlet, 5 outlets</t>
  </si>
  <si>
    <t>AVS-5251</t>
  </si>
  <si>
    <t>SMC 1/4" OD 10-32 UNF</t>
  </si>
  <si>
    <t>Coilhose Pneumatics 1/4" Manifold</t>
  </si>
  <si>
    <t>A07020DP</t>
  </si>
  <si>
    <t>7/16 Bore Double-acting Rear pivot mount Cylinder</t>
  </si>
  <si>
    <t>NITRA Pneumatic Cylinder 3/4" bore 2" stroke</t>
  </si>
  <si>
    <t>A12020DP</t>
  </si>
  <si>
    <t>NITRA Pneumatic Cylinder 1-1/2" bore 2" stroke</t>
  </si>
  <si>
    <t>A24020DP</t>
  </si>
  <si>
    <t>#10-32 UNF Thread Clevis and nut</t>
  </si>
  <si>
    <t>ARC-10-32</t>
  </si>
  <si>
    <t>NITRA rod clevis and nut for 3/4 cylinder</t>
  </si>
  <si>
    <t>ARC-14-28</t>
  </si>
  <si>
    <t>NITRA 7/16" rod clevis and nut for 1-1/2" cylinder</t>
  </si>
  <si>
    <t>ARC-716-20</t>
  </si>
  <si>
    <t>1/4" OD to 1/8" NPT connector 10 pieces (liberty pneumatics)</t>
  </si>
  <si>
    <t>B01DQ1AC8Y</t>
  </si>
  <si>
    <t>Control Pneumatic Cylinders</t>
  </si>
  <si>
    <t>Main Prop Pneumatic Cylinder</t>
  </si>
  <si>
    <t>1/4" OD to 1/4" NPT connector 10 pieces (Liberty pneumatics)</t>
  </si>
  <si>
    <t>B01DQ1A8YM</t>
  </si>
  <si>
    <t>https://www.amazon.com/Pcs-Tube-push-connect-fitting/dp/B01DQ1A8YM/ref=pd_bxgy_3/137-1700328-5205923?_encoding=UTF8&amp;pd_rd_i=B01DQ1A8YM&amp;pd_rd_r=baf40765-711f-4a2c-afef-d22cf693f5c0&amp;pd_rd_w=f7B7U&amp;pd_rd_wg=0yAWQ&amp;pf_rd_p=fd08095f-55ff-4a15-9b49-4a1a719225a9&amp;pf_rd_r=8WE25GB08S3X0F2RES5A&amp;psc=1&amp;refRID=8WE25GB08S3X0F2RES5A</t>
  </si>
  <si>
    <t>https://www.amazon.com/Pieces-pneumatic-connect-touch-fitting/dp/B01DQ1AC8Y/ref=sr_1_1?keywords=pneumatic+B01DQ1AC8Y&amp;qid=1581606212&amp;sr=8-1</t>
  </si>
  <si>
    <t>clevis</t>
  </si>
  <si>
    <t>Solenoid Pilot valves</t>
  </si>
  <si>
    <t>Average nozzle Stay Time:</t>
  </si>
  <si>
    <t>Cylindrical radius</t>
  </si>
  <si>
    <t>mm</t>
  </si>
  <si>
    <t>Cylindrical length</t>
  </si>
  <si>
    <t>average conical radius</t>
  </si>
  <si>
    <t>Conical Length</t>
  </si>
  <si>
    <t>mm^3</t>
  </si>
  <si>
    <t>Throat radius:</t>
  </si>
  <si>
    <t>L*:</t>
  </si>
  <si>
    <t>Throat Area:</t>
  </si>
  <si>
    <t>mm^2</t>
  </si>
  <si>
    <t>Service Pressure:</t>
  </si>
  <si>
    <t>Burst Pressure:</t>
  </si>
  <si>
    <t>This is a Guess based on R.P.E. page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</si>
</sst>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0000"/>
    <numFmt numFmtId="165" formatCode="0.000"/>
    <numFmt numFmtId="166" formatCode="0.0000"/>
    <numFmt numFmtId="167" formatCode="0.0000000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A5A5A5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3" borderId="1" applyNumberFormat="0" applyAlignment="0" applyProtection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44" fontId="1" fillId="0" borderId="0" xfId="1" applyFont="1"/>
    <xf numFmtId="44" fontId="0" fillId="0" borderId="0" xfId="1" applyFont="1"/>
    <xf numFmtId="9" fontId="0" fillId="0" borderId="0" xfId="2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1" fillId="2" borderId="0" xfId="0" applyFont="1" applyFill="1"/>
    <xf numFmtId="0" fontId="6" fillId="0" borderId="0" xfId="0" applyFont="1"/>
    <xf numFmtId="0" fontId="3" fillId="0" borderId="0" xfId="0" applyFont="1"/>
    <xf numFmtId="0" fontId="5" fillId="3" borderId="1" xfId="3"/>
    <xf numFmtId="0" fontId="1" fillId="5" borderId="0" xfId="0" applyFont="1" applyFill="1"/>
    <xf numFmtId="44" fontId="1" fillId="5" borderId="0" xfId="1" applyFont="1" applyFill="1"/>
    <xf numFmtId="0" fontId="0" fillId="6" borderId="0" xfId="0" applyFill="1"/>
    <xf numFmtId="0" fontId="0" fillId="7" borderId="0" xfId="0" applyFill="1"/>
    <xf numFmtId="44" fontId="0" fillId="7" borderId="0" xfId="1" applyFont="1" applyFill="1"/>
    <xf numFmtId="0" fontId="7" fillId="4" borderId="0" xfId="0" applyFont="1" applyFill="1"/>
    <xf numFmtId="0" fontId="0" fillId="4" borderId="0" xfId="0" applyFill="1"/>
    <xf numFmtId="0" fontId="3" fillId="4" borderId="0" xfId="0" applyFont="1" applyFill="1"/>
    <xf numFmtId="0" fontId="1" fillId="8" borderId="0" xfId="0" applyFont="1" applyFill="1"/>
    <xf numFmtId="0" fontId="0" fillId="8" borderId="0" xfId="0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8" fillId="6" borderId="0" xfId="0" applyFont="1" applyFill="1"/>
    <xf numFmtId="0" fontId="9" fillId="9" borderId="0" xfId="4" applyFill="1" applyAlignment="1">
      <alignment horizontal="left" vertical="center"/>
    </xf>
    <xf numFmtId="0" fontId="0" fillId="0" borderId="0" xfId="0" applyAlignment="1">
      <alignment horizontal="right"/>
    </xf>
    <xf numFmtId="164" fontId="0" fillId="8" borderId="0" xfId="0" applyNumberFormat="1" applyFill="1"/>
    <xf numFmtId="0" fontId="0" fillId="10" borderId="0" xfId="0" applyFill="1"/>
    <xf numFmtId="167" fontId="0" fillId="0" borderId="0" xfId="0" applyNumberFormat="1"/>
    <xf numFmtId="2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8" fontId="0" fillId="0" borderId="0" xfId="0" applyNumberFormat="1"/>
    <xf numFmtId="44" fontId="2" fillId="0" borderId="0" xfId="1" applyFont="1"/>
    <xf numFmtId="0" fontId="10" fillId="0" borderId="0" xfId="0" applyFont="1"/>
    <xf numFmtId="0" fontId="1" fillId="10" borderId="0" xfId="0" applyFont="1" applyFill="1"/>
    <xf numFmtId="0" fontId="1" fillId="11" borderId="0" xfId="0" applyFont="1" applyFill="1"/>
    <xf numFmtId="0" fontId="0" fillId="11" borderId="0" xfId="0" applyFill="1"/>
    <xf numFmtId="0" fontId="1" fillId="12" borderId="0" xfId="0" applyFont="1" applyFill="1"/>
    <xf numFmtId="0" fontId="0" fillId="12" borderId="0" xfId="0" applyFill="1"/>
    <xf numFmtId="16" fontId="0" fillId="0" borderId="0" xfId="0" applyNumberFormat="1"/>
    <xf numFmtId="0" fontId="0" fillId="13" borderId="0" xfId="0" applyFill="1"/>
    <xf numFmtId="0" fontId="9" fillId="0" borderId="0" xfId="4"/>
    <xf numFmtId="0" fontId="0" fillId="0" borderId="0" xfId="1" applyNumberFormat="1" applyFont="1"/>
  </cellXfs>
  <cellStyles count="5">
    <cellStyle name="Check Cell" xfId="3" builtinId="23"/>
    <cellStyle name="Currency" xfId="1" builtinId="4"/>
    <cellStyle name="Hyperlink" xfId="4" builtinId="8"/>
    <cellStyle name="Normal" xfId="0" builtinId="0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'Solution of Isentropic Expansio'!$C$1</c:f>
              <c:strCache>
                <c:ptCount val="1"/>
                <c:pt idx="0">
                  <c:v>Temperature (K)</c:v>
                </c:pt>
              </c:strCache>
            </c:strRef>
          </c:tx>
          <c:xVal>
            <c:numRef>
              <c:f>'Solution of Isentropic Expansio'!$A$3:$A$47</c:f>
              <c:numCache>
                <c:formatCode>General</c:formatCode>
                <c:ptCount val="4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  <c:pt idx="19">
                  <c:v>1050</c:v>
                </c:pt>
                <c:pt idx="20">
                  <c:v>1100</c:v>
                </c:pt>
                <c:pt idx="21">
                  <c:v>1150</c:v>
                </c:pt>
                <c:pt idx="22">
                  <c:v>1200</c:v>
                </c:pt>
                <c:pt idx="23">
                  <c:v>1250</c:v>
                </c:pt>
                <c:pt idx="24">
                  <c:v>1300</c:v>
                </c:pt>
                <c:pt idx="25">
                  <c:v>1350</c:v>
                </c:pt>
                <c:pt idx="26">
                  <c:v>1400</c:v>
                </c:pt>
                <c:pt idx="27">
                  <c:v>1450</c:v>
                </c:pt>
                <c:pt idx="28">
                  <c:v>1500</c:v>
                </c:pt>
                <c:pt idx="29">
                  <c:v>1550</c:v>
                </c:pt>
                <c:pt idx="30">
                  <c:v>1600</c:v>
                </c:pt>
                <c:pt idx="31">
                  <c:v>1650</c:v>
                </c:pt>
                <c:pt idx="32">
                  <c:v>1700</c:v>
                </c:pt>
                <c:pt idx="33">
                  <c:v>1750</c:v>
                </c:pt>
                <c:pt idx="34">
                  <c:v>1800</c:v>
                </c:pt>
                <c:pt idx="35">
                  <c:v>1850</c:v>
                </c:pt>
                <c:pt idx="36">
                  <c:v>1900</c:v>
                </c:pt>
                <c:pt idx="37">
                  <c:v>1950</c:v>
                </c:pt>
                <c:pt idx="38">
                  <c:v>2000</c:v>
                </c:pt>
                <c:pt idx="39">
                  <c:v>2050</c:v>
                </c:pt>
                <c:pt idx="40">
                  <c:v>2100</c:v>
                </c:pt>
                <c:pt idx="41">
                  <c:v>2150</c:v>
                </c:pt>
                <c:pt idx="42">
                  <c:v>2200</c:v>
                </c:pt>
                <c:pt idx="43">
                  <c:v>2250</c:v>
                </c:pt>
                <c:pt idx="44">
                  <c:v>2300</c:v>
                </c:pt>
              </c:numCache>
            </c:numRef>
          </c:xVal>
          <c:yVal>
            <c:numRef>
              <c:f>'Solution of Isentropic Expansio'!$C$3:$C$47</c:f>
              <c:numCache>
                <c:formatCode>General</c:formatCode>
                <c:ptCount val="45"/>
                <c:pt idx="0">
                  <c:v>1426.0808541707263</c:v>
                </c:pt>
                <c:pt idx="1">
                  <c:v>1576.7108914138162</c:v>
                </c:pt>
                <c:pt idx="2">
                  <c:v>1693.138082248448</c:v>
                </c:pt>
                <c:pt idx="3">
                  <c:v>1789.3345480554535</c:v>
                </c:pt>
                <c:pt idx="4">
                  <c:v>1871.9760854660731</c:v>
                </c:pt>
                <c:pt idx="5">
                  <c:v>1944.8193076045993</c:v>
                </c:pt>
                <c:pt idx="6">
                  <c:v>2010.2061935520228</c:v>
                </c:pt>
                <c:pt idx="7">
                  <c:v>2069.7038837513246</c:v>
                </c:pt>
                <c:pt idx="8">
                  <c:v>2124.4170387219929</c:v>
                </c:pt>
                <c:pt idx="9">
                  <c:v>2175.1560528550222</c:v>
                </c:pt>
                <c:pt idx="10">
                  <c:v>2222.5345709476437</c:v>
                </c:pt>
                <c:pt idx="11">
                  <c:v>2267.0293724993144</c:v>
                </c:pt>
                <c:pt idx="12">
                  <c:v>2309.0188912971662</c:v>
                </c:pt>
                <c:pt idx="13">
                  <c:v>2348.8089564219404</c:v>
                </c:pt>
                <c:pt idx="14">
                  <c:v>2386.6505531720436</c:v>
                </c:pt>
                <c:pt idx="15">
                  <c:v>2422.7524161213009</c:v>
                </c:pt>
                <c:pt idx="16">
                  <c:v>2457.2901699845406</c:v>
                </c:pt>
                <c:pt idx="17">
                  <c:v>2490.4131016512215</c:v>
                </c:pt>
                <c:pt idx="18">
                  <c:v>2522.2492682080897</c:v>
                </c:pt>
                <c:pt idx="19">
                  <c:v>2552.9094116515275</c:v>
                </c:pt>
                <c:pt idx="20">
                  <c:v>2582.4900019877537</c:v>
                </c:pt>
                <c:pt idx="21">
                  <c:v>2611.0756331549619</c:v>
                </c:pt>
                <c:pt idx="22">
                  <c:v>2638.7409312590548</c:v>
                </c:pt>
                <c:pt idx="23">
                  <c:v>2665.5520903640449</c:v>
                </c:pt>
                <c:pt idx="24">
                  <c:v>2691.5681203689105</c:v>
                </c:pt>
                <c:pt idx="25">
                  <c:v>2716.8418698333476</c:v>
                </c:pt>
                <c:pt idx="26">
                  <c:v>2741.4208710905878</c:v>
                </c:pt>
                <c:pt idx="27">
                  <c:v>2765.3480437080329</c:v>
                </c:pt>
                <c:pt idx="28">
                  <c:v>2788.6622840587729</c:v>
                </c:pt>
                <c:pt idx="29">
                  <c:v>2811.3989625894646</c:v>
                </c:pt>
                <c:pt idx="30">
                  <c:v>2833.5903457204286</c:v>
                </c:pt>
                <c:pt idx="31">
                  <c:v>2855.2659557786269</c:v>
                </c:pt>
                <c:pt idx="32">
                  <c:v>2876.4528796509089</c:v>
                </c:pt>
                <c:pt idx="33">
                  <c:v>2897.1760347440263</c:v>
                </c:pt>
                <c:pt idx="34">
                  <c:v>2917.4583991978211</c:v>
                </c:pt>
                <c:pt idx="35">
                  <c:v>2937.3212120076914</c:v>
                </c:pt>
                <c:pt idx="36">
                  <c:v>2956.7841476899584</c:v>
                </c:pt>
                <c:pt idx="37">
                  <c:v>2975.865469307967</c:v>
                </c:pt>
                <c:pt idx="38">
                  <c:v>2994.5821630216933</c:v>
                </c:pt>
                <c:pt idx="39">
                  <c:v>3012.9500567944096</c:v>
                </c:pt>
                <c:pt idx="40">
                  <c:v>3030.9839254599606</c:v>
                </c:pt>
                <c:pt idx="41">
                  <c:v>3048.6975840029054</c:v>
                </c:pt>
                <c:pt idx="42">
                  <c:v>3066.1039706153097</c:v>
                </c:pt>
                <c:pt idx="43">
                  <c:v>3083.2152208559214</c:v>
                </c:pt>
                <c:pt idx="44">
                  <c:v>3100.0427340400902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E7-4287-B8D1-962138D9B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70176"/>
        <c:axId val="143176064"/>
      </c:scatterChart>
      <c:valAx>
        <c:axId val="14317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176064"/>
        <c:crosses val="autoZero"/>
        <c:crossBetween val="midCat"/>
      </c:valAx>
      <c:valAx>
        <c:axId val="143176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170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'Solution of Isentropic Expansio'!$D$1</c:f>
              <c:strCache>
                <c:ptCount val="1"/>
                <c:pt idx="0">
                  <c:v>Specific Volume:</c:v>
                </c:pt>
              </c:strCache>
            </c:strRef>
          </c:tx>
          <c:xVal>
            <c:numRef>
              <c:f>'Solution of Isentropic Expansio'!$A$3:$A$47</c:f>
              <c:numCache>
                <c:formatCode>General</c:formatCode>
                <c:ptCount val="4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  <c:pt idx="19">
                  <c:v>1050</c:v>
                </c:pt>
                <c:pt idx="20">
                  <c:v>1100</c:v>
                </c:pt>
                <c:pt idx="21">
                  <c:v>1150</c:v>
                </c:pt>
                <c:pt idx="22">
                  <c:v>1200</c:v>
                </c:pt>
                <c:pt idx="23">
                  <c:v>1250</c:v>
                </c:pt>
                <c:pt idx="24">
                  <c:v>1300</c:v>
                </c:pt>
                <c:pt idx="25">
                  <c:v>1350</c:v>
                </c:pt>
                <c:pt idx="26">
                  <c:v>1400</c:v>
                </c:pt>
                <c:pt idx="27">
                  <c:v>1450</c:v>
                </c:pt>
                <c:pt idx="28">
                  <c:v>1500</c:v>
                </c:pt>
                <c:pt idx="29">
                  <c:v>1550</c:v>
                </c:pt>
                <c:pt idx="30">
                  <c:v>1600</c:v>
                </c:pt>
                <c:pt idx="31">
                  <c:v>1650</c:v>
                </c:pt>
                <c:pt idx="32">
                  <c:v>1700</c:v>
                </c:pt>
                <c:pt idx="33">
                  <c:v>1750</c:v>
                </c:pt>
                <c:pt idx="34">
                  <c:v>1800</c:v>
                </c:pt>
                <c:pt idx="35">
                  <c:v>1850</c:v>
                </c:pt>
                <c:pt idx="36">
                  <c:v>1900</c:v>
                </c:pt>
                <c:pt idx="37">
                  <c:v>1950</c:v>
                </c:pt>
                <c:pt idx="38">
                  <c:v>2000</c:v>
                </c:pt>
                <c:pt idx="39">
                  <c:v>2050</c:v>
                </c:pt>
                <c:pt idx="40">
                  <c:v>2100</c:v>
                </c:pt>
                <c:pt idx="41">
                  <c:v>2150</c:v>
                </c:pt>
                <c:pt idx="42">
                  <c:v>2200</c:v>
                </c:pt>
                <c:pt idx="43">
                  <c:v>2250</c:v>
                </c:pt>
                <c:pt idx="44">
                  <c:v>2300</c:v>
                </c:pt>
              </c:numCache>
            </c:numRef>
          </c:xVal>
          <c:yVal>
            <c:numRef>
              <c:f>'Solution of Isentropic Expansio'!$D$3:$D$47</c:f>
              <c:numCache>
                <c:formatCode>General</c:formatCode>
                <c:ptCount val="45"/>
                <c:pt idx="0">
                  <c:v>4.4251152630015644</c:v>
                </c:pt>
                <c:pt idx="1">
                  <c:v>3.2616792194405719</c:v>
                </c:pt>
                <c:pt idx="2">
                  <c:v>2.6268956448768939</c:v>
                </c:pt>
                <c:pt idx="3">
                  <c:v>2.2209152015635349</c:v>
                </c:pt>
                <c:pt idx="4">
                  <c:v>1.9362413015931608</c:v>
                </c:pt>
                <c:pt idx="5">
                  <c:v>1.724215921997877</c:v>
                </c:pt>
                <c:pt idx="6">
                  <c:v>1.5594126523141725</c:v>
                </c:pt>
                <c:pt idx="7">
                  <c:v>1.4271714163091049</c:v>
                </c:pt>
                <c:pt idx="8">
                  <c:v>1.3184091540862719</c:v>
                </c:pt>
                <c:pt idx="9">
                  <c:v>1.2271797175325552</c:v>
                </c:pt>
                <c:pt idx="10">
                  <c:v>1.1494172558876563</c:v>
                </c:pt>
                <c:pt idx="11">
                  <c:v>1.0822416122081184</c:v>
                </c:pt>
                <c:pt idx="12">
                  <c:v>1.023551936419248</c:v>
                </c:pt>
                <c:pt idx="13">
                  <c:v>0.97177756623825495</c:v>
                </c:pt>
                <c:pt idx="14">
                  <c:v>0.92571923248648225</c:v>
                </c:pt>
                <c:pt idx="15">
                  <c:v>0.88444442301617732</c:v>
                </c:pt>
                <c:pt idx="16">
                  <c:v>0.84721643509285738</c:v>
                </c:pt>
                <c:pt idx="17">
                  <c:v>0.81344505855556914</c:v>
                </c:pt>
                <c:pt idx="18">
                  <c:v>0.78265153768805529</c:v>
                </c:pt>
                <c:pt idx="19">
                  <c:v>0.7544431913333508</c:v>
                </c:pt>
                <c:pt idx="20">
                  <c:v>0.72849470892220414</c:v>
                </c:pt>
                <c:pt idx="21">
                  <c:v>0.70453415117344143</c:v>
                </c:pt>
                <c:pt idx="22">
                  <c:v>0.68233232451205617</c:v>
                </c:pt>
                <c:pt idx="23">
                  <c:v>0.66169461317140998</c:v>
                </c:pt>
                <c:pt idx="24">
                  <c:v>0.64245462747238968</c:v>
                </c:pt>
                <c:pt idx="25">
                  <c:v>0.62446921186783089</c:v>
                </c:pt>
                <c:pt idx="26">
                  <c:v>0.60761448330302736</c:v>
                </c:pt>
                <c:pt idx="27">
                  <c:v>0.59178265891231563</c:v>
                </c:pt>
                <c:pt idx="28">
                  <c:v>0.57687949461655363</c:v>
                </c:pt>
                <c:pt idx="29">
                  <c:v>0.56282220099739033</c:v>
                </c:pt>
                <c:pt idx="30">
                  <c:v>0.54953773532851424</c:v>
                </c:pt>
                <c:pt idx="31">
                  <c:v>0.53696139249313879</c:v>
                </c:pt>
                <c:pt idx="32">
                  <c:v>0.52503563520307617</c:v>
                </c:pt>
                <c:pt idx="33">
                  <c:v>0.51370911718158752</c:v>
                </c:pt>
                <c:pt idx="34">
                  <c:v>0.50293586298675552</c:v>
                </c:pt>
                <c:pt idx="35">
                  <c:v>0.49267457578937923</c:v>
                </c:pt>
                <c:pt idx="36">
                  <c:v>0.48288805029156134</c:v>
                </c:pt>
                <c:pt idx="37">
                  <c:v>0.47354267252210713</c:v>
                </c:pt>
                <c:pt idx="38">
                  <c:v>0.46460799179599366</c:v>
                </c:pt>
                <c:pt idx="39">
                  <c:v>0.45605635291584407</c:v>
                </c:pt>
                <c:pt idx="40">
                  <c:v>0.44786257890067183</c:v>
                </c:pt>
                <c:pt idx="41">
                  <c:v>0.44000369628385422</c:v>
                </c:pt>
                <c:pt idx="42">
                  <c:v>0.43245869642851892</c:v>
                </c:pt>
                <c:pt idx="43">
                  <c:v>0.42520832744047055</c:v>
                </c:pt>
                <c:pt idx="44">
                  <c:v>0.41823491217473829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9D-4541-B196-BCA37405A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31904"/>
        <c:axId val="144333440"/>
      </c:scatterChart>
      <c:valAx>
        <c:axId val="14433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333440"/>
        <c:crosses val="autoZero"/>
        <c:crossBetween val="midCat"/>
      </c:valAx>
      <c:valAx>
        <c:axId val="144333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331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'Solution of Isentropic Expansio'!$I$1</c:f>
              <c:strCache>
                <c:ptCount val="1"/>
                <c:pt idx="0">
                  <c:v>Diameter: (in)</c:v>
                </c:pt>
              </c:strCache>
            </c:strRef>
          </c:tx>
          <c:trendline>
            <c:trendlineType val="poly"/>
            <c:order val="6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'Solution of Isentropic Expansio'!$A$3:$A$46</c:f>
              <c:numCache>
                <c:formatCode>General</c:formatCode>
                <c:ptCount val="4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  <c:pt idx="19">
                  <c:v>1050</c:v>
                </c:pt>
                <c:pt idx="20">
                  <c:v>1100</c:v>
                </c:pt>
                <c:pt idx="21">
                  <c:v>1150</c:v>
                </c:pt>
                <c:pt idx="22">
                  <c:v>1200</c:v>
                </c:pt>
                <c:pt idx="23">
                  <c:v>1250</c:v>
                </c:pt>
                <c:pt idx="24">
                  <c:v>1300</c:v>
                </c:pt>
                <c:pt idx="25">
                  <c:v>1350</c:v>
                </c:pt>
                <c:pt idx="26">
                  <c:v>1400</c:v>
                </c:pt>
                <c:pt idx="27">
                  <c:v>1450</c:v>
                </c:pt>
                <c:pt idx="28">
                  <c:v>1500</c:v>
                </c:pt>
                <c:pt idx="29">
                  <c:v>1550</c:v>
                </c:pt>
                <c:pt idx="30">
                  <c:v>1600</c:v>
                </c:pt>
                <c:pt idx="31">
                  <c:v>1650</c:v>
                </c:pt>
                <c:pt idx="32">
                  <c:v>1700</c:v>
                </c:pt>
                <c:pt idx="33">
                  <c:v>1750</c:v>
                </c:pt>
                <c:pt idx="34">
                  <c:v>1800</c:v>
                </c:pt>
                <c:pt idx="35">
                  <c:v>1850</c:v>
                </c:pt>
                <c:pt idx="36">
                  <c:v>1900</c:v>
                </c:pt>
                <c:pt idx="37">
                  <c:v>1950</c:v>
                </c:pt>
                <c:pt idx="38">
                  <c:v>2000</c:v>
                </c:pt>
                <c:pt idx="39">
                  <c:v>2050</c:v>
                </c:pt>
                <c:pt idx="40">
                  <c:v>2100</c:v>
                </c:pt>
                <c:pt idx="41">
                  <c:v>2150</c:v>
                </c:pt>
                <c:pt idx="42">
                  <c:v>2200</c:v>
                </c:pt>
                <c:pt idx="43">
                  <c:v>2250</c:v>
                </c:pt>
              </c:numCache>
            </c:numRef>
          </c:xVal>
          <c:yVal>
            <c:numRef>
              <c:f>'Solution of Isentropic Expansio'!$I$3:$I$46</c:f>
              <c:numCache>
                <c:formatCode>0.00000</c:formatCode>
                <c:ptCount val="44"/>
                <c:pt idx="0">
                  <c:v>1.5234430558390126</c:v>
                </c:pt>
                <c:pt idx="1">
                  <c:v>1.3392012035525558</c:v>
                </c:pt>
                <c:pt idx="2">
                  <c:v>1.2260289115527108</c:v>
                </c:pt>
                <c:pt idx="3">
                  <c:v>1.1475080157039343</c:v>
                </c:pt>
                <c:pt idx="4">
                  <c:v>1.0890829232679133</c:v>
                </c:pt>
                <c:pt idx="5">
                  <c:v>1.04360578344462</c:v>
                </c:pt>
                <c:pt idx="6">
                  <c:v>1.0070894084804178</c:v>
                </c:pt>
                <c:pt idx="7">
                  <c:v>0.97710674385567375</c:v>
                </c:pt>
                <c:pt idx="8">
                  <c:v>0.95208331469198348</c:v>
                </c:pt>
                <c:pt idx="9">
                  <c:v>0.93094715502740133</c:v>
                </c:pt>
                <c:pt idx="10">
                  <c:v>0.91294038956392998</c:v>
                </c:pt>
                <c:pt idx="11">
                  <c:v>0.89751095490606747</c:v>
                </c:pt>
                <c:pt idx="12">
                  <c:v>0.88424702640479536</c:v>
                </c:pt>
                <c:pt idx="13">
                  <c:v>0.87283557344965446</c:v>
                </c:pt>
                <c:pt idx="14">
                  <c:v>0.86303522581548231</c:v>
                </c:pt>
                <c:pt idx="15">
                  <c:v>0.85465798606337962</c:v>
                </c:pt>
                <c:pt idx="16">
                  <c:v>0.8475566104403216</c:v>
                </c:pt>
                <c:pt idx="17">
                  <c:v>0.8416157418513599</c:v>
                </c:pt>
                <c:pt idx="18">
                  <c:v>0.83674560340884097</c:v>
                </c:pt>
                <c:pt idx="19">
                  <c:v>0.83287749373292874</c:v>
                </c:pt>
                <c:pt idx="20">
                  <c:v>0.82996059279674927</c:v>
                </c:pt>
                <c:pt idx="21">
                  <c:v>0.82795975888449203</c:v>
                </c:pt>
                <c:pt idx="22">
                  <c:v>0.8268541124010208</c:v>
                </c:pt>
                <c:pt idx="23">
                  <c:v>0.82663628414052504</c:v>
                </c:pt>
                <c:pt idx="24">
                  <c:v>0.8273122689366067</c:v>
                </c:pt>
                <c:pt idx="25">
                  <c:v>0.82890188071228732</c:v>
                </c:pt>
                <c:pt idx="26">
                  <c:v>0.83143986035990181</c:v>
                </c:pt>
                <c:pt idx="27">
                  <c:v>0.83497775237334448</c:v>
                </c:pt>
                <c:pt idx="28">
                  <c:v>0.83958675087776224</c:v>
                </c:pt>
                <c:pt idx="29">
                  <c:v>0.8453618372277748</c:v>
                </c:pt>
                <c:pt idx="30">
                  <c:v>0.85242771682358676</c:v>
                </c:pt>
                <c:pt idx="31">
                  <c:v>0.86094735958178925</c:v>
                </c:pt>
                <c:pt idx="32">
                  <c:v>0.87113444332313095</c:v>
                </c:pt>
                <c:pt idx="33">
                  <c:v>0.88327185847538725</c:v>
                </c:pt>
                <c:pt idx="34">
                  <c:v>0.89773999056656673</c:v>
                </c:pt>
                <c:pt idx="35">
                  <c:v>0.91506146539338618</c:v>
                </c:pt>
                <c:pt idx="36">
                  <c:v>0.93597503260524983</c:v>
                </c:pt>
                <c:pt idx="37">
                  <c:v>0.96156421952374882</c:v>
                </c:pt>
                <c:pt idx="38">
                  <c:v>0.99349689341964742</c:v>
                </c:pt>
                <c:pt idx="39">
                  <c:v>1.0345118815057408</c:v>
                </c:pt>
                <c:pt idx="40">
                  <c:v>1.0895307831242789</c:v>
                </c:pt>
                <c:pt idx="41">
                  <c:v>1.1686669228031534</c:v>
                </c:pt>
                <c:pt idx="42">
                  <c:v>1.2979071344484314</c:v>
                </c:pt>
                <c:pt idx="43">
                  <c:v>1.5847900150897838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76-4F63-9E57-7E445CD1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59808"/>
        <c:axId val="144361344"/>
      </c:scatterChart>
      <c:valAx>
        <c:axId val="14435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361344"/>
        <c:crosses val="autoZero"/>
        <c:crossBetween val="midCat"/>
      </c:valAx>
      <c:valAx>
        <c:axId val="144361344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144359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vs. Diameter</c:v>
          </c:tx>
          <c:trendline>
            <c:trendlineType val="movingAvg"/>
            <c:period val="2"/>
            <c:dispRSqr val="0"/>
            <c:dispEq val="0"/>
          </c:trendline>
          <c:xVal>
            <c:numRef>
              <c:f>'Solution of Isentropic Expansio'!$G$3:$G$46</c:f>
              <c:numCache>
                <c:formatCode>General</c:formatCode>
                <c:ptCount val="44"/>
                <c:pt idx="0">
                  <c:v>1.822808289046165</c:v>
                </c:pt>
                <c:pt idx="1">
                  <c:v>1.4085757445734379</c:v>
                </c:pt>
                <c:pt idx="2">
                  <c:v>1.1805651721160739</c:v>
                </c:pt>
                <c:pt idx="3">
                  <c:v>1.0341892033496014</c:v>
                </c:pt>
                <c:pt idx="4">
                  <c:v>0.93155915983674875</c:v>
                </c:pt>
                <c:pt idx="5">
                  <c:v>0.85538473987686725</c:v>
                </c:pt>
                <c:pt idx="6">
                  <c:v>0.79657120063917064</c:v>
                </c:pt>
                <c:pt idx="7">
                  <c:v>0.74984683930622675</c:v>
                </c:pt>
                <c:pt idx="8">
                  <c:v>0.71193189840898807</c:v>
                </c:pt>
                <c:pt idx="9">
                  <c:v>0.68067312213090692</c:v>
                </c:pt>
                <c:pt idx="10">
                  <c:v>0.6545960587610824</c:v>
                </c:pt>
                <c:pt idx="11">
                  <c:v>0.63265662497670949</c:v>
                </c:pt>
                <c:pt idx="12">
                  <c:v>0.61409528058673013</c:v>
                </c:pt>
                <c:pt idx="13">
                  <c:v>0.59834741620972354</c:v>
                </c:pt>
                <c:pt idx="14">
                  <c:v>0.58498615598668047</c:v>
                </c:pt>
                <c:pt idx="15">
                  <c:v>0.57368468204466627</c:v>
                </c:pt>
                <c:pt idx="16">
                  <c:v>0.56419076704681337</c:v>
                </c:pt>
                <c:pt idx="17">
                  <c:v>0.55630920218155844</c:v>
                </c:pt>
                <c:pt idx="18">
                  <c:v>0.54988949352080529</c:v>
                </c:pt>
                <c:pt idx="19">
                  <c:v>0.54481718376386568</c:v>
                </c:pt>
                <c:pt idx="20">
                  <c:v>0.54100775210400598</c:v>
                </c:pt>
                <c:pt idx="21">
                  <c:v>0.53840241906974351</c:v>
                </c:pt>
                <c:pt idx="22">
                  <c:v>0.53696542827734417</c:v>
                </c:pt>
                <c:pt idx="23">
                  <c:v>0.53668254684394023</c:v>
                </c:pt>
                <c:pt idx="24">
                  <c:v>0.53756065390276675</c:v>
                </c:pt>
                <c:pt idx="25">
                  <c:v>0.53962839474336011</c:v>
                </c:pt>
                <c:pt idx="26">
                  <c:v>0.54293798451027342</c:v>
                </c:pt>
                <c:pt idx="27">
                  <c:v>0.54756836803007536</c:v>
                </c:pt>
                <c:pt idx="28">
                  <c:v>0.55363010366445142</c:v>
                </c:pt>
                <c:pt idx="29">
                  <c:v>0.561272572563001</c:v>
                </c:pt>
                <c:pt idx="30">
                  <c:v>0.57069447566737419</c:v>
                </c:pt>
                <c:pt idx="31">
                  <c:v>0.58215916717995542</c:v>
                </c:pt>
                <c:pt idx="32">
                  <c:v>0.59601736699780195</c:v>
                </c:pt>
                <c:pt idx="33">
                  <c:v>0.61274155070179426</c:v>
                </c:pt>
                <c:pt idx="34">
                  <c:v>0.63297956123904597</c:v>
                </c:pt>
                <c:pt idx="35">
                  <c:v>0.65764129767517154</c:v>
                </c:pt>
                <c:pt idx="36">
                  <c:v>0.68804536196961374</c:v>
                </c:pt>
                <c:pt idx="37">
                  <c:v>0.72618141991320051</c:v>
                </c:pt>
                <c:pt idx="38">
                  <c:v>0.77521393460307042</c:v>
                </c:pt>
                <c:pt idx="39">
                  <c:v>0.84054217538516462</c:v>
                </c:pt>
                <c:pt idx="40">
                  <c:v>0.93232548116289693</c:v>
                </c:pt>
                <c:pt idx="41">
                  <c:v>1.072679666207432</c:v>
                </c:pt>
                <c:pt idx="42">
                  <c:v>1.3230485560781258</c:v>
                </c:pt>
                <c:pt idx="43">
                  <c:v>1.9725680581617355</c:v>
                </c:pt>
              </c:numCache>
            </c:numRef>
          </c:xVal>
          <c:yVal>
            <c:numRef>
              <c:f>'Solution of Isentropic Expansio'!$A$3:$A$46</c:f>
              <c:numCache>
                <c:formatCode>General</c:formatCode>
                <c:ptCount val="44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  <c:pt idx="19">
                  <c:v>1050</c:v>
                </c:pt>
                <c:pt idx="20">
                  <c:v>1100</c:v>
                </c:pt>
                <c:pt idx="21">
                  <c:v>1150</c:v>
                </c:pt>
                <c:pt idx="22">
                  <c:v>1200</c:v>
                </c:pt>
                <c:pt idx="23">
                  <c:v>1250</c:v>
                </c:pt>
                <c:pt idx="24">
                  <c:v>1300</c:v>
                </c:pt>
                <c:pt idx="25">
                  <c:v>1350</c:v>
                </c:pt>
                <c:pt idx="26">
                  <c:v>1400</c:v>
                </c:pt>
                <c:pt idx="27">
                  <c:v>1450</c:v>
                </c:pt>
                <c:pt idx="28">
                  <c:v>1500</c:v>
                </c:pt>
                <c:pt idx="29">
                  <c:v>1550</c:v>
                </c:pt>
                <c:pt idx="30">
                  <c:v>1600</c:v>
                </c:pt>
                <c:pt idx="31">
                  <c:v>1650</c:v>
                </c:pt>
                <c:pt idx="32">
                  <c:v>1700</c:v>
                </c:pt>
                <c:pt idx="33">
                  <c:v>1750</c:v>
                </c:pt>
                <c:pt idx="34">
                  <c:v>1800</c:v>
                </c:pt>
                <c:pt idx="35">
                  <c:v>1850</c:v>
                </c:pt>
                <c:pt idx="36">
                  <c:v>1900</c:v>
                </c:pt>
                <c:pt idx="37">
                  <c:v>1950</c:v>
                </c:pt>
                <c:pt idx="38">
                  <c:v>2000</c:v>
                </c:pt>
                <c:pt idx="39">
                  <c:v>2050</c:v>
                </c:pt>
                <c:pt idx="40">
                  <c:v>2100</c:v>
                </c:pt>
                <c:pt idx="41">
                  <c:v>2150</c:v>
                </c:pt>
                <c:pt idx="42">
                  <c:v>2200</c:v>
                </c:pt>
                <c:pt idx="43">
                  <c:v>2250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7C-40EF-9516-EEDBFDF1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99040"/>
        <c:axId val="144204928"/>
      </c:scatterChart>
      <c:valAx>
        <c:axId val="14419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204928"/>
        <c:crosses val="autoZero"/>
        <c:crossBetween val="midCat"/>
      </c:valAx>
      <c:valAx>
        <c:axId val="14420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199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vs. Diameter 9 Stations Near Outlet</c:v>
          </c:tx>
          <c:trendline>
            <c:trendlineType val="powe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'Solution of Isentropic Expansio'!$I$2:$I$10</c:f>
              <c:numCache>
                <c:formatCode>0.00000</c:formatCode>
                <c:ptCount val="9"/>
                <c:pt idx="0">
                  <c:v>1.5334342051993242</c:v>
                </c:pt>
                <c:pt idx="1">
                  <c:v>1.5234430558390126</c:v>
                </c:pt>
                <c:pt idx="2">
                  <c:v>1.3392012035525558</c:v>
                </c:pt>
                <c:pt idx="3">
                  <c:v>1.2260289115527108</c:v>
                </c:pt>
                <c:pt idx="4">
                  <c:v>1.1475080157039343</c:v>
                </c:pt>
                <c:pt idx="5">
                  <c:v>1.0890829232679133</c:v>
                </c:pt>
                <c:pt idx="6">
                  <c:v>1.04360578344462</c:v>
                </c:pt>
                <c:pt idx="7">
                  <c:v>1.0070894084804178</c:v>
                </c:pt>
                <c:pt idx="8">
                  <c:v>0.97710674385567375</c:v>
                </c:pt>
              </c:numCache>
            </c:numRef>
          </c:xVal>
          <c:yVal>
            <c:numRef>
              <c:f>'Solution of Isentropic Expansio'!$A$2:$A$11</c:f>
              <c:numCache>
                <c:formatCode>General</c:formatCode>
                <c:ptCount val="10"/>
                <c:pt idx="0">
                  <c:v>98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F1-428D-A7A9-3121A40FF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30656"/>
        <c:axId val="144240640"/>
      </c:scatterChart>
      <c:valAx>
        <c:axId val="144230656"/>
        <c:scaling>
          <c:orientation val="minMax"/>
        </c:scaling>
        <c:delete val="0"/>
        <c:axPos val="b"/>
        <c:numFmt formatCode="0.00000" sourceLinked="1"/>
        <c:majorTickMark val="out"/>
        <c:minorTickMark val="none"/>
        <c:tickLblPos val="nextTo"/>
        <c:crossAx val="144240640"/>
        <c:crosses val="autoZero"/>
        <c:crossBetween val="midCat"/>
      </c:valAx>
      <c:valAx>
        <c:axId val="14424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230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vs. Diameter Before Outlet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'Solution of Isentropic Expansio'!$I$11:$I$20</c:f>
              <c:numCache>
                <c:formatCode>0.00000</c:formatCode>
                <c:ptCount val="10"/>
                <c:pt idx="0">
                  <c:v>0.95208331469198348</c:v>
                </c:pt>
                <c:pt idx="1">
                  <c:v>0.93094715502740133</c:v>
                </c:pt>
                <c:pt idx="2">
                  <c:v>0.91294038956392998</c:v>
                </c:pt>
                <c:pt idx="3">
                  <c:v>0.89751095490606747</c:v>
                </c:pt>
                <c:pt idx="4">
                  <c:v>0.88424702640479536</c:v>
                </c:pt>
                <c:pt idx="5">
                  <c:v>0.87283557344965446</c:v>
                </c:pt>
                <c:pt idx="6">
                  <c:v>0.86303522581548231</c:v>
                </c:pt>
                <c:pt idx="7">
                  <c:v>0.85465798606337962</c:v>
                </c:pt>
                <c:pt idx="8">
                  <c:v>0.8475566104403216</c:v>
                </c:pt>
                <c:pt idx="9">
                  <c:v>0.8416157418513599</c:v>
                </c:pt>
              </c:numCache>
            </c:numRef>
          </c:xVal>
          <c:yVal>
            <c:numRef>
              <c:f>'Solution of Isentropic Expansio'!$A$11:$A$20</c:f>
              <c:numCache>
                <c:formatCode>General</c:formatCode>
                <c:ptCount val="10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850</c:v>
                </c:pt>
                <c:pt idx="8">
                  <c:v>900</c:v>
                </c:pt>
                <c:pt idx="9">
                  <c:v>950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7E-4848-8D5F-B7A6E26C3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70080"/>
        <c:axId val="144271616"/>
      </c:scatterChart>
      <c:valAx>
        <c:axId val="144270080"/>
        <c:scaling>
          <c:orientation val="minMax"/>
        </c:scaling>
        <c:delete val="0"/>
        <c:axPos val="b"/>
        <c:numFmt formatCode="0.00000" sourceLinked="1"/>
        <c:majorTickMark val="out"/>
        <c:minorTickMark val="none"/>
        <c:tickLblPos val="nextTo"/>
        <c:crossAx val="144271616"/>
        <c:crosses val="autoZero"/>
        <c:crossBetween val="midCat"/>
      </c:valAx>
      <c:valAx>
        <c:axId val="14427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270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vs. Diameter just supersonic</c:v>
          </c:tx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-1.1030957790893197E-2"/>
                  <c:y val="0.25921783399122356"/>
                </c:manualLayout>
              </c:layout>
              <c:numFmt formatCode="General" sourceLinked="0"/>
            </c:trendlineLbl>
          </c:trendline>
          <c:xVal>
            <c:numRef>
              <c:f>'Solution of Isentropic Expansio'!$I$21:$I$26</c:f>
              <c:numCache>
                <c:formatCode>0.00000</c:formatCode>
                <c:ptCount val="6"/>
                <c:pt idx="0">
                  <c:v>0.83674560340884097</c:v>
                </c:pt>
                <c:pt idx="1">
                  <c:v>0.83287749373292874</c:v>
                </c:pt>
                <c:pt idx="2">
                  <c:v>0.82996059279674927</c:v>
                </c:pt>
                <c:pt idx="3">
                  <c:v>0.82795975888449203</c:v>
                </c:pt>
                <c:pt idx="4">
                  <c:v>0.8268541124010208</c:v>
                </c:pt>
                <c:pt idx="5">
                  <c:v>0.82663628414052504</c:v>
                </c:pt>
              </c:numCache>
            </c:numRef>
          </c:xVal>
          <c:yVal>
            <c:numRef>
              <c:f>'Solution of Isentropic Expansio'!$A$21:$A$26</c:f>
              <c:numCache>
                <c:formatCode>General</c:formatCode>
                <c:ptCount val="6"/>
                <c:pt idx="0">
                  <c:v>1000</c:v>
                </c:pt>
                <c:pt idx="1">
                  <c:v>1050</c:v>
                </c:pt>
                <c:pt idx="2">
                  <c:v>1100</c:v>
                </c:pt>
                <c:pt idx="3">
                  <c:v>1150</c:v>
                </c:pt>
                <c:pt idx="4">
                  <c:v>1200</c:v>
                </c:pt>
                <c:pt idx="5">
                  <c:v>1250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B-4C96-88DB-D6B058CC5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78880"/>
        <c:axId val="144384768"/>
      </c:scatterChart>
      <c:valAx>
        <c:axId val="144378880"/>
        <c:scaling>
          <c:orientation val="minMax"/>
        </c:scaling>
        <c:delete val="0"/>
        <c:axPos val="b"/>
        <c:numFmt formatCode="0.00000" sourceLinked="1"/>
        <c:majorTickMark val="out"/>
        <c:minorTickMark val="none"/>
        <c:tickLblPos val="nextTo"/>
        <c:crossAx val="144384768"/>
        <c:crosses val="autoZero"/>
        <c:crossBetween val="midCat"/>
      </c:valAx>
      <c:valAx>
        <c:axId val="14438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378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Upper Subsonic</c:v>
          </c:tx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0.34580535711181798"/>
                  <c:y val="8.471972020867119E-2"/>
                </c:manualLayout>
              </c:layout>
              <c:numFmt formatCode="General" sourceLinked="0"/>
            </c:trendlineLbl>
          </c:trendline>
          <c:xVal>
            <c:numRef>
              <c:f>'Solution of Isentropic Expansio'!$I$27:$I$36</c:f>
              <c:numCache>
                <c:formatCode>0.00000</c:formatCode>
                <c:ptCount val="10"/>
                <c:pt idx="0">
                  <c:v>0.8273122689366067</c:v>
                </c:pt>
                <c:pt idx="1">
                  <c:v>0.82890188071228732</c:v>
                </c:pt>
                <c:pt idx="2">
                  <c:v>0.83143986035990181</c:v>
                </c:pt>
                <c:pt idx="3">
                  <c:v>0.83497775237334448</c:v>
                </c:pt>
                <c:pt idx="4">
                  <c:v>0.83958675087776224</c:v>
                </c:pt>
                <c:pt idx="5">
                  <c:v>0.8453618372277748</c:v>
                </c:pt>
                <c:pt idx="6">
                  <c:v>0.85242771682358676</c:v>
                </c:pt>
                <c:pt idx="7">
                  <c:v>0.86094735958178925</c:v>
                </c:pt>
                <c:pt idx="8">
                  <c:v>0.87113444332313095</c:v>
                </c:pt>
                <c:pt idx="9">
                  <c:v>0.88327185847538725</c:v>
                </c:pt>
              </c:numCache>
            </c:numRef>
          </c:xVal>
          <c:yVal>
            <c:numRef>
              <c:f>'Solution of Isentropic Expansio'!$A$27:$A$36</c:f>
              <c:numCache>
                <c:formatCode>General</c:formatCode>
                <c:ptCount val="10"/>
                <c:pt idx="0">
                  <c:v>1300</c:v>
                </c:pt>
                <c:pt idx="1">
                  <c:v>1350</c:v>
                </c:pt>
                <c:pt idx="2">
                  <c:v>1400</c:v>
                </c:pt>
                <c:pt idx="3">
                  <c:v>1450</c:v>
                </c:pt>
                <c:pt idx="4">
                  <c:v>1500</c:v>
                </c:pt>
                <c:pt idx="5">
                  <c:v>1550</c:v>
                </c:pt>
                <c:pt idx="6">
                  <c:v>1600</c:v>
                </c:pt>
                <c:pt idx="7">
                  <c:v>1650</c:v>
                </c:pt>
                <c:pt idx="8">
                  <c:v>1700</c:v>
                </c:pt>
                <c:pt idx="9">
                  <c:v>1750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EC-46AC-8BF2-BC847A24B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5632"/>
        <c:axId val="144407168"/>
      </c:scatterChart>
      <c:valAx>
        <c:axId val="144405632"/>
        <c:scaling>
          <c:orientation val="minMax"/>
        </c:scaling>
        <c:delete val="0"/>
        <c:axPos val="b"/>
        <c:numFmt formatCode="0.00000" sourceLinked="1"/>
        <c:majorTickMark val="out"/>
        <c:minorTickMark val="none"/>
        <c:tickLblPos val="nextTo"/>
        <c:crossAx val="144407168"/>
        <c:crosses val="autoZero"/>
        <c:crossBetween val="midCat"/>
      </c:valAx>
      <c:valAx>
        <c:axId val="144407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405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Lower Subsonic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'Solution of Isentropic Expansio'!$I$37:$I$46</c:f>
              <c:numCache>
                <c:formatCode>0.00000</c:formatCode>
                <c:ptCount val="10"/>
                <c:pt idx="0">
                  <c:v>0.89773999056656673</c:v>
                </c:pt>
                <c:pt idx="1">
                  <c:v>0.91506146539338618</c:v>
                </c:pt>
                <c:pt idx="2">
                  <c:v>0.93597503260524983</c:v>
                </c:pt>
                <c:pt idx="3">
                  <c:v>0.96156421952374882</c:v>
                </c:pt>
                <c:pt idx="4">
                  <c:v>0.99349689341964742</c:v>
                </c:pt>
                <c:pt idx="5">
                  <c:v>1.0345118815057408</c:v>
                </c:pt>
                <c:pt idx="6">
                  <c:v>1.0895307831242789</c:v>
                </c:pt>
                <c:pt idx="7">
                  <c:v>1.1686669228031534</c:v>
                </c:pt>
                <c:pt idx="8">
                  <c:v>1.2979071344484314</c:v>
                </c:pt>
                <c:pt idx="9">
                  <c:v>1.5847900150897838</c:v>
                </c:pt>
              </c:numCache>
            </c:numRef>
          </c:xVal>
          <c:yVal>
            <c:numRef>
              <c:f>'Solution of Isentropic Expansio'!$A$37:$A$46</c:f>
              <c:numCache>
                <c:formatCode>General</c:formatCode>
                <c:ptCount val="10"/>
                <c:pt idx="0">
                  <c:v>1800</c:v>
                </c:pt>
                <c:pt idx="1">
                  <c:v>1850</c:v>
                </c:pt>
                <c:pt idx="2">
                  <c:v>1900</c:v>
                </c:pt>
                <c:pt idx="3">
                  <c:v>1950</c:v>
                </c:pt>
                <c:pt idx="4">
                  <c:v>2000</c:v>
                </c:pt>
                <c:pt idx="5">
                  <c:v>2050</c:v>
                </c:pt>
                <c:pt idx="6">
                  <c:v>2100</c:v>
                </c:pt>
                <c:pt idx="7">
                  <c:v>2150</c:v>
                </c:pt>
                <c:pt idx="8">
                  <c:v>2200</c:v>
                </c:pt>
                <c:pt idx="9">
                  <c:v>2250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11-4949-9B82-D0370739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23936"/>
        <c:axId val="144433920"/>
      </c:scatterChart>
      <c:valAx>
        <c:axId val="144423936"/>
        <c:scaling>
          <c:orientation val="minMax"/>
        </c:scaling>
        <c:delete val="0"/>
        <c:axPos val="b"/>
        <c:numFmt formatCode="0.00000" sourceLinked="1"/>
        <c:majorTickMark val="out"/>
        <c:minorTickMark val="none"/>
        <c:tickLblPos val="nextTo"/>
        <c:crossAx val="144433920"/>
        <c:crosses val="autoZero"/>
        <c:crossBetween val="midCat"/>
      </c:valAx>
      <c:valAx>
        <c:axId val="14443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423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2</xdr:row>
      <xdr:rowOff>85725</xdr:rowOff>
    </xdr:from>
    <xdr:to>
      <xdr:col>25</xdr:col>
      <xdr:colOff>485775</xdr:colOff>
      <xdr:row>24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295275</xdr:colOff>
      <xdr:row>26</xdr:row>
      <xdr:rowOff>47624</xdr:rowOff>
    </xdr:from>
    <xdr:to>
      <xdr:col>25</xdr:col>
      <xdr:colOff>514350</xdr:colOff>
      <xdr:row>46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342899</xdr:colOff>
      <xdr:row>48</xdr:row>
      <xdr:rowOff>0</xdr:rowOff>
    </xdr:from>
    <xdr:to>
      <xdr:col>23</xdr:col>
      <xdr:colOff>323850</xdr:colOff>
      <xdr:row>71</xdr:row>
      <xdr:rowOff>104776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638174</xdr:colOff>
      <xdr:row>63</xdr:row>
      <xdr:rowOff>142875</xdr:rowOff>
    </xdr:from>
    <xdr:to>
      <xdr:col>9</xdr:col>
      <xdr:colOff>190499</xdr:colOff>
      <xdr:row>86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295275</xdr:colOff>
      <xdr:row>72</xdr:row>
      <xdr:rowOff>9525</xdr:rowOff>
    </xdr:from>
    <xdr:to>
      <xdr:col>20</xdr:col>
      <xdr:colOff>133349</xdr:colOff>
      <xdr:row>95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609599</xdr:colOff>
      <xdr:row>87</xdr:row>
      <xdr:rowOff>104775</xdr:rowOff>
    </xdr:from>
    <xdr:to>
      <xdr:col>9</xdr:col>
      <xdr:colOff>533399</xdr:colOff>
      <xdr:row>107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285750</xdr:colOff>
      <xdr:row>96</xdr:row>
      <xdr:rowOff>47625</xdr:rowOff>
    </xdr:from>
    <xdr:to>
      <xdr:col>20</xdr:col>
      <xdr:colOff>180975</xdr:colOff>
      <xdr:row>111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552449</xdr:colOff>
      <xdr:row>109</xdr:row>
      <xdr:rowOff>180974</xdr:rowOff>
    </xdr:from>
    <xdr:to>
      <xdr:col>8</xdr:col>
      <xdr:colOff>466724</xdr:colOff>
      <xdr:row>130</xdr:row>
      <xdr:rowOff>19049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666749</xdr:colOff>
      <xdr:row>112</xdr:row>
      <xdr:rowOff>28574</xdr:rowOff>
    </xdr:from>
    <xdr:to>
      <xdr:col>18</xdr:col>
      <xdr:colOff>114299</xdr:colOff>
      <xdr:row>139</xdr:row>
      <xdr:rowOff>114299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tomationdirect.com/adc/shopping/catalog/pneumatic_components/pneumatic_solenoid_directional_control_valves_-a-_accessories/5-port_(4-way),_2-pos.,_body_ported_-z-_manifold_(avs-5,am_series)/avs-5312-24d?gclid=CjwKCAiA4Y7yBRB8EiwADV1habD_SbEe2RJpYAjn4iKfgaApzAHAxhHZLR9NOJrPUy1lFEvuAuS0-RoC8GsQAvD_BwE" TargetMode="External"/><Relationship Id="rId2" Type="http://schemas.openxmlformats.org/officeDocument/2006/relationships/hyperlink" Target="https://www.ebay.com/itm/NEW-Argon-CO2-Regulator-Gas-Flow-Pressure-Gauge-MIG-TIG-Welding-CGA580-TOP/352887992853?hash=item5229c37215:g:q9wAAOSwwVdd8ZSI" TargetMode="External"/><Relationship Id="rId1" Type="http://schemas.openxmlformats.org/officeDocument/2006/relationships/hyperlink" Target="https://www.mcmaster.com/1810T2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www.amazon.com/Pieces-pneumatic-connect-touch-fitting/dp/B01DQ1AC8Y/ref=sr_1_1?keywords=pneumatic+B01DQ1AC8Y&amp;qid=1581606212&amp;sr=8-1" TargetMode="External"/><Relationship Id="rId4" Type="http://schemas.openxmlformats.org/officeDocument/2006/relationships/hyperlink" Target="https://www.amazon.com/Pcs-Tube-push-connect-fitting/dp/B01DQ1A8YM/ref=pd_bxgy_3/137-1700328-5205923?_encoding=UTF8&amp;pd_rd_i=B01DQ1A8YM&amp;pd_rd_r=baf40765-711f-4a2c-afef-d22cf693f5c0&amp;pd_rd_w=f7B7U&amp;pd_rd_wg=0yAWQ&amp;pf_rd_p=fd08095f-55ff-4a15-9b49-4a1a719225a9&amp;pf_rd_r=8WE25GB08S3X0F2RES5A&amp;psc=1&amp;refRID=8WE25GB08S3X0F2RES5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automationdirect.com/adc/shopping/catalog/pneumatic_components/pneumatic_solenoid_directional_control_valves_-a-_accessories/5-port_(4-way),_2-pos.,_body_ported_-z-_manifold_(avs-5,am_series)/avs-5312-24d?gclid=CjwKCAiA4Y7yBRB8EiwADV1habD_SbEe2RJpYAjn4iKfgaApzAHAxhHZLR9NOJrPUy1lFEvuAuS0-RoC8GsQAvD_BwE" TargetMode="External"/><Relationship Id="rId1" Type="http://schemas.openxmlformats.org/officeDocument/2006/relationships/hyperlink" Target="https://www.ebay.com/itm/NEW-Argon-CO2-Regulator-Gas-Flow-Pressure-Gauge-MIG-TIG-Welding-CGA580-TOP/352887992853?hash=item5229c37215:g:q9wAAOSwwVdd8Z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workbookViewId="0">
      <selection activeCell="B19" sqref="B19"/>
    </sheetView>
  </sheetViews>
  <sheetFormatPr defaultRowHeight="14.4" x14ac:dyDescent="0.3"/>
  <cols>
    <col min="1" max="1" width="34.6640625" bestFit="1" customWidth="1"/>
    <col min="2" max="2" width="12" bestFit="1" customWidth="1"/>
    <col min="3" max="3" width="12.44140625" customWidth="1"/>
    <col min="4" max="4" width="12.33203125" bestFit="1" customWidth="1"/>
  </cols>
  <sheetData>
    <row r="1" spans="1:12" s="6" customFormat="1" x14ac:dyDescent="0.3">
      <c r="A1" s="8" t="s">
        <v>0</v>
      </c>
    </row>
    <row r="2" spans="1:12" x14ac:dyDescent="0.3">
      <c r="B2" s="1" t="s">
        <v>1</v>
      </c>
      <c r="C2" s="1"/>
      <c r="D2" s="1" t="s">
        <v>4</v>
      </c>
      <c r="G2" s="1" t="s">
        <v>49</v>
      </c>
      <c r="K2" s="1" t="s">
        <v>50</v>
      </c>
    </row>
    <row r="3" spans="1:12" x14ac:dyDescent="0.3">
      <c r="A3" t="s">
        <v>2</v>
      </c>
      <c r="B3">
        <v>1141</v>
      </c>
      <c r="D3">
        <v>789.3</v>
      </c>
      <c r="E3" t="s">
        <v>48</v>
      </c>
      <c r="G3">
        <v>998</v>
      </c>
      <c r="H3" t="s">
        <v>48</v>
      </c>
      <c r="K3">
        <f>(0.7*D3)+(0.3*G3)</f>
        <v>851.90999999999985</v>
      </c>
      <c r="L3" t="s">
        <v>48</v>
      </c>
    </row>
    <row r="4" spans="1:12" x14ac:dyDescent="0.3">
      <c r="A4" t="s">
        <v>3</v>
      </c>
      <c r="B4" t="s">
        <v>13</v>
      </c>
      <c r="D4">
        <v>1336</v>
      </c>
      <c r="E4" t="s">
        <v>11</v>
      </c>
    </row>
    <row r="5" spans="1:12" x14ac:dyDescent="0.3">
      <c r="A5" t="s">
        <v>5</v>
      </c>
      <c r="I5" s="1" t="s">
        <v>12</v>
      </c>
    </row>
    <row r="6" spans="1:12" x14ac:dyDescent="0.3">
      <c r="A6" t="s">
        <v>285</v>
      </c>
      <c r="B6">
        <v>3.2000000000000001E-2</v>
      </c>
      <c r="C6" t="s">
        <v>17</v>
      </c>
      <c r="D6">
        <v>4.607E-2</v>
      </c>
      <c r="E6" t="s">
        <v>17</v>
      </c>
      <c r="G6">
        <v>1.8015300000000001E-2</v>
      </c>
      <c r="H6" t="s">
        <v>17</v>
      </c>
    </row>
    <row r="7" spans="1:12" x14ac:dyDescent="0.3">
      <c r="A7" t="s">
        <v>18</v>
      </c>
      <c r="B7">
        <v>90.19</v>
      </c>
      <c r="C7" t="s">
        <v>19</v>
      </c>
      <c r="D7">
        <v>351.39</v>
      </c>
      <c r="E7" t="s">
        <v>19</v>
      </c>
      <c r="G7">
        <v>373.2</v>
      </c>
      <c r="H7" t="s">
        <v>19</v>
      </c>
    </row>
    <row r="10" spans="1:12" s="6" customFormat="1" x14ac:dyDescent="0.3">
      <c r="A10" s="8" t="s">
        <v>6</v>
      </c>
    </row>
    <row r="11" spans="1:12" x14ac:dyDescent="0.3">
      <c r="B11" s="1" t="s">
        <v>7</v>
      </c>
      <c r="C11" s="1"/>
      <c r="D11" s="1" t="s">
        <v>8</v>
      </c>
      <c r="G11" s="1" t="s">
        <v>302</v>
      </c>
    </row>
    <row r="12" spans="1:12" x14ac:dyDescent="0.3">
      <c r="A12" t="s">
        <v>22</v>
      </c>
      <c r="B12">
        <f>0.04401</f>
        <v>4.4010000000000001E-2</v>
      </c>
      <c r="D12">
        <v>1.8020000000000001E-2</v>
      </c>
      <c r="E12" t="s">
        <v>17</v>
      </c>
    </row>
    <row r="13" spans="1:12" x14ac:dyDescent="0.3">
      <c r="A13" t="s">
        <v>5</v>
      </c>
      <c r="B13">
        <v>1.3260000000000001</v>
      </c>
      <c r="D13">
        <v>2.609</v>
      </c>
      <c r="E13" t="s">
        <v>9</v>
      </c>
      <c r="F13" t="s">
        <v>23</v>
      </c>
    </row>
    <row r="14" spans="1:12" x14ac:dyDescent="0.3">
      <c r="A14" t="s">
        <v>5</v>
      </c>
      <c r="B14">
        <f>B13*B12</f>
        <v>5.8357260000000001E-2</v>
      </c>
      <c r="D14">
        <f>D13*D12</f>
        <v>4.7014180000000003E-2</v>
      </c>
      <c r="E14" t="s">
        <v>303</v>
      </c>
      <c r="G14">
        <v>7.3999999999999996E-2</v>
      </c>
      <c r="H14" t="s">
        <v>303</v>
      </c>
    </row>
    <row r="15" spans="1:12" x14ac:dyDescent="0.3">
      <c r="A15" t="s">
        <v>330</v>
      </c>
    </row>
    <row r="16" spans="1:12" s="14" customFormat="1" x14ac:dyDescent="0.3">
      <c r="A16" s="25" t="s">
        <v>263</v>
      </c>
    </row>
    <row r="17" spans="1:16" x14ac:dyDescent="0.3">
      <c r="A17" t="s">
        <v>259</v>
      </c>
      <c r="B17">
        <v>2</v>
      </c>
      <c r="D17" s="9" t="s">
        <v>258</v>
      </c>
    </row>
    <row r="18" spans="1:16" x14ac:dyDescent="0.3">
      <c r="A18" t="s">
        <v>260</v>
      </c>
      <c r="B18">
        <v>3</v>
      </c>
      <c r="D18" s="9" t="s">
        <v>258</v>
      </c>
    </row>
    <row r="20" spans="1:16" x14ac:dyDescent="0.3">
      <c r="A20" t="s">
        <v>255</v>
      </c>
      <c r="B20">
        <f>B67</f>
        <v>0.7</v>
      </c>
      <c r="C20" t="s">
        <v>29</v>
      </c>
      <c r="D20">
        <f>B20/D6</f>
        <v>15.19426958975472</v>
      </c>
      <c r="E20" t="s">
        <v>257</v>
      </c>
    </row>
    <row r="21" spans="1:16" x14ac:dyDescent="0.3">
      <c r="A21" t="s">
        <v>256</v>
      </c>
      <c r="B21">
        <f>1-B67</f>
        <v>0.30000000000000004</v>
      </c>
      <c r="C21" t="s">
        <v>29</v>
      </c>
      <c r="D21">
        <f>B21/G6</f>
        <v>16.652512031439944</v>
      </c>
      <c r="E21" t="s">
        <v>257</v>
      </c>
    </row>
    <row r="23" spans="1:16" x14ac:dyDescent="0.3">
      <c r="A23" s="9" t="s">
        <v>279</v>
      </c>
    </row>
    <row r="24" spans="1:16" x14ac:dyDescent="0.3">
      <c r="A24" t="s">
        <v>276</v>
      </c>
      <c r="B24">
        <f>B63</f>
        <v>1.26</v>
      </c>
      <c r="C24" t="s">
        <v>29</v>
      </c>
      <c r="D24">
        <f>B24/B6</f>
        <v>39.375</v>
      </c>
      <c r="E24" t="s">
        <v>257</v>
      </c>
      <c r="I24" s="1" t="s">
        <v>267</v>
      </c>
    </row>
    <row r="25" spans="1:16" x14ac:dyDescent="0.3">
      <c r="A25" t="s">
        <v>277</v>
      </c>
      <c r="B25">
        <v>1</v>
      </c>
      <c r="C25" t="s">
        <v>29</v>
      </c>
      <c r="I25" t="s">
        <v>264</v>
      </c>
    </row>
    <row r="26" spans="1:16" x14ac:dyDescent="0.3">
      <c r="A26" t="s">
        <v>280</v>
      </c>
      <c r="B26">
        <f>SUM(B24,B25)</f>
        <v>2.2599999999999998</v>
      </c>
      <c r="C26" t="s">
        <v>29</v>
      </c>
      <c r="F26" s="9" t="s">
        <v>289</v>
      </c>
    </row>
    <row r="28" spans="1:16" x14ac:dyDescent="0.3">
      <c r="A28" s="9" t="s">
        <v>278</v>
      </c>
    </row>
    <row r="29" spans="1:16" x14ac:dyDescent="0.3">
      <c r="A29" t="s">
        <v>282</v>
      </c>
      <c r="B29">
        <f>D29*D6</f>
        <v>0.7</v>
      </c>
      <c r="C29" t="s">
        <v>29</v>
      </c>
      <c r="D29">
        <f>D20</f>
        <v>15.19426958975472</v>
      </c>
      <c r="E29" t="s">
        <v>257</v>
      </c>
    </row>
    <row r="30" spans="1:16" x14ac:dyDescent="0.3">
      <c r="A30" t="s">
        <v>283</v>
      </c>
      <c r="B30">
        <f>D30*D6</f>
        <v>0.60466874999999998</v>
      </c>
      <c r="C30" t="s">
        <v>29</v>
      </c>
      <c r="D30">
        <f>D24/3</f>
        <v>13.125</v>
      </c>
      <c r="E30" t="s">
        <v>257</v>
      </c>
      <c r="F30" s="9" t="s">
        <v>292</v>
      </c>
    </row>
    <row r="31" spans="1:16" x14ac:dyDescent="0.3">
      <c r="A31" t="s">
        <v>284</v>
      </c>
      <c r="B31">
        <f>B21</f>
        <v>0.30000000000000004</v>
      </c>
      <c r="C31" t="s">
        <v>29</v>
      </c>
      <c r="D31">
        <f>D21</f>
        <v>16.652512031439944</v>
      </c>
      <c r="E31" t="s">
        <v>257</v>
      </c>
      <c r="P31">
        <f>D30/P32</f>
        <v>0.18428351132533552</v>
      </c>
    </row>
    <row r="32" spans="1:16" x14ac:dyDescent="0.3">
      <c r="A32" t="s">
        <v>265</v>
      </c>
      <c r="B32">
        <f>D32*D6</f>
        <v>9.5331249999999951E-2</v>
      </c>
      <c r="C32" t="s">
        <v>29</v>
      </c>
      <c r="D32">
        <f>D29-D30</f>
        <v>2.06926958975472</v>
      </c>
      <c r="E32" t="s">
        <v>257</v>
      </c>
      <c r="F32" s="9" t="s">
        <v>286</v>
      </c>
      <c r="P32">
        <f>D29+D31+D33</f>
        <v>71.221781621194665</v>
      </c>
    </row>
    <row r="33" spans="1:6" x14ac:dyDescent="0.3">
      <c r="A33" t="s">
        <v>281</v>
      </c>
      <c r="B33">
        <f>D33*B6</f>
        <v>1.26</v>
      </c>
      <c r="C33" t="s">
        <v>29</v>
      </c>
      <c r="D33">
        <f>D24</f>
        <v>39.375</v>
      </c>
      <c r="E33" t="s">
        <v>257</v>
      </c>
      <c r="F33" s="9"/>
    </row>
    <row r="34" spans="1:6" x14ac:dyDescent="0.3">
      <c r="A34" t="s">
        <v>266</v>
      </c>
      <c r="B34">
        <f>D34*B6</f>
        <v>0</v>
      </c>
      <c r="C34" t="s">
        <v>29</v>
      </c>
      <c r="D34">
        <f>D24-D33</f>
        <v>0</v>
      </c>
      <c r="E34" t="s">
        <v>257</v>
      </c>
      <c r="F34" s="9" t="s">
        <v>287</v>
      </c>
    </row>
    <row r="35" spans="1:6" x14ac:dyDescent="0.3">
      <c r="A35" t="s">
        <v>280</v>
      </c>
      <c r="B35">
        <f>SUM(B29,B31,B33,B34)</f>
        <v>2.2599999999999998</v>
      </c>
      <c r="C35" t="s">
        <v>29</v>
      </c>
      <c r="F35" s="9" t="s">
        <v>290</v>
      </c>
    </row>
    <row r="36" spans="1:6" x14ac:dyDescent="0.3">
      <c r="A36" t="s">
        <v>288</v>
      </c>
      <c r="B36" s="23">
        <f>SUM(B30,B33)</f>
        <v>1.8646687499999999</v>
      </c>
      <c r="C36" t="s">
        <v>29</v>
      </c>
      <c r="F36" s="9" t="s">
        <v>291</v>
      </c>
    </row>
    <row r="37" spans="1:6" x14ac:dyDescent="0.3">
      <c r="F37" s="9"/>
    </row>
    <row r="38" spans="1:6" x14ac:dyDescent="0.3">
      <c r="A38" s="9" t="s">
        <v>268</v>
      </c>
      <c r="F38" s="9"/>
    </row>
    <row r="39" spans="1:6" x14ac:dyDescent="0.3">
      <c r="A39" t="s">
        <v>270</v>
      </c>
      <c r="B39">
        <f>D39*B12</f>
        <v>1.1552625000000001</v>
      </c>
      <c r="D39">
        <f>B17*D30</f>
        <v>26.25</v>
      </c>
      <c r="E39" t="s">
        <v>257</v>
      </c>
      <c r="F39" s="9"/>
    </row>
    <row r="40" spans="1:6" x14ac:dyDescent="0.3">
      <c r="A40" t="s">
        <v>269</v>
      </c>
      <c r="B40">
        <f>D40*D12</f>
        <v>0.70953750000000004</v>
      </c>
      <c r="D40">
        <f>(B18*D30)</f>
        <v>39.375</v>
      </c>
      <c r="E40" t="s">
        <v>257</v>
      </c>
      <c r="F40" s="9"/>
    </row>
    <row r="41" spans="1:6" x14ac:dyDescent="0.3">
      <c r="A41" t="s">
        <v>288</v>
      </c>
      <c r="B41" s="23">
        <f>SUM(B39:B40)</f>
        <v>1.8648000000000002</v>
      </c>
      <c r="C41" t="s">
        <v>29</v>
      </c>
      <c r="F41" s="9" t="s">
        <v>289</v>
      </c>
    </row>
    <row r="42" spans="1:6" x14ac:dyDescent="0.3">
      <c r="F42" s="9"/>
    </row>
    <row r="43" spans="1:6" x14ac:dyDescent="0.3">
      <c r="A43" s="9" t="s">
        <v>275</v>
      </c>
      <c r="F43" s="9"/>
    </row>
    <row r="44" spans="1:6" x14ac:dyDescent="0.3">
      <c r="A44" s="9" t="s">
        <v>274</v>
      </c>
      <c r="B44">
        <f>D44*B12</f>
        <v>1.1552625000000001</v>
      </c>
      <c r="C44" t="s">
        <v>29</v>
      </c>
      <c r="D44">
        <f>D39</f>
        <v>26.25</v>
      </c>
      <c r="E44" t="s">
        <v>257</v>
      </c>
      <c r="F44" s="9"/>
    </row>
    <row r="45" spans="1:6" x14ac:dyDescent="0.3">
      <c r="A45" t="s">
        <v>271</v>
      </c>
      <c r="B45">
        <f>D45*D12</f>
        <v>1.0096157668065477</v>
      </c>
      <c r="C45" t="s">
        <v>29</v>
      </c>
      <c r="D45">
        <f>D40+D31</f>
        <v>56.02751203143994</v>
      </c>
      <c r="E45" t="s">
        <v>257</v>
      </c>
      <c r="F45" s="9"/>
    </row>
    <row r="46" spans="1:6" x14ac:dyDescent="0.3">
      <c r="A46" t="s">
        <v>273</v>
      </c>
      <c r="B46">
        <f>D46*D6</f>
        <v>9.5331249999999951E-2</v>
      </c>
      <c r="C46" t="s">
        <v>29</v>
      </c>
      <c r="D46">
        <f>D32</f>
        <v>2.06926958975472</v>
      </c>
      <c r="E46" t="s">
        <v>257</v>
      </c>
      <c r="F46" s="9"/>
    </row>
    <row r="47" spans="1:6" x14ac:dyDescent="0.3">
      <c r="A47" t="s">
        <v>272</v>
      </c>
      <c r="B47">
        <f>D47*B6</f>
        <v>0</v>
      </c>
      <c r="C47" t="s">
        <v>29</v>
      </c>
      <c r="D47">
        <f>D34</f>
        <v>0</v>
      </c>
      <c r="E47" t="s">
        <v>257</v>
      </c>
    </row>
    <row r="48" spans="1:6" x14ac:dyDescent="0.3">
      <c r="A48" t="s">
        <v>280</v>
      </c>
      <c r="B48" s="24">
        <f>SUM(B44:B47)</f>
        <v>2.2602095168065479</v>
      </c>
      <c r="C48" t="s">
        <v>29</v>
      </c>
    </row>
    <row r="50" spans="1:4" x14ac:dyDescent="0.3">
      <c r="A50" t="s">
        <v>293</v>
      </c>
      <c r="B50">
        <f>D44/(SUM(D44,D45,D46,D47))</f>
        <v>0.3112151939346065</v>
      </c>
      <c r="C50" t="s">
        <v>152</v>
      </c>
    </row>
    <row r="51" spans="1:4" x14ac:dyDescent="0.3">
      <c r="A51" t="s">
        <v>294</v>
      </c>
      <c r="B51">
        <f>D45/SUM(D44:D47)</f>
        <v>0.66425192466811733</v>
      </c>
      <c r="C51" t="s">
        <v>152</v>
      </c>
    </row>
    <row r="52" spans="1:4" x14ac:dyDescent="0.3">
      <c r="A52" t="s">
        <v>295</v>
      </c>
      <c r="B52">
        <f>D46/SUM(D44:D46)</f>
        <v>2.4532881397276145E-2</v>
      </c>
      <c r="C52" t="s">
        <v>152</v>
      </c>
    </row>
    <row r="53" spans="1:4" x14ac:dyDescent="0.3">
      <c r="A53" t="s">
        <v>297</v>
      </c>
      <c r="B53">
        <f>(B50*B12)+(B51*G6)+(B52*D6)</f>
        <v>2.679350822950808E-2</v>
      </c>
      <c r="C53" t="s">
        <v>17</v>
      </c>
    </row>
    <row r="54" spans="1:4" x14ac:dyDescent="0.3">
      <c r="A54" t="s">
        <v>249</v>
      </c>
      <c r="B54">
        <v>1.2897000000000001</v>
      </c>
      <c r="C54" t="s">
        <v>24</v>
      </c>
      <c r="D54" s="9" t="s">
        <v>254</v>
      </c>
    </row>
    <row r="55" spans="1:4" x14ac:dyDescent="0.3">
      <c r="A55" t="s">
        <v>250</v>
      </c>
      <c r="B55">
        <v>1.355</v>
      </c>
      <c r="C55" t="s">
        <v>24</v>
      </c>
      <c r="D55" s="9" t="s">
        <v>254</v>
      </c>
    </row>
    <row r="56" spans="1:4" x14ac:dyDescent="0.3">
      <c r="A56" t="s">
        <v>296</v>
      </c>
      <c r="B56">
        <v>1.1299999999999999</v>
      </c>
      <c r="D56" s="9" t="s">
        <v>304</v>
      </c>
    </row>
    <row r="58" spans="1:4" x14ac:dyDescent="0.3">
      <c r="A58" t="s">
        <v>25</v>
      </c>
      <c r="B58">
        <f>(B50*B54)+(B51*B55)+(B52*B56)</f>
        <v>1.3291577495216831</v>
      </c>
      <c r="C58" t="s">
        <v>152</v>
      </c>
    </row>
    <row r="61" spans="1:4" s="6" customFormat="1" x14ac:dyDescent="0.3">
      <c r="A61" s="8" t="s">
        <v>16</v>
      </c>
    </row>
    <row r="62" spans="1:4" x14ac:dyDescent="0.3">
      <c r="A62" t="s">
        <v>10</v>
      </c>
      <c r="B62">
        <v>0.92</v>
      </c>
      <c r="C62" t="s">
        <v>152</v>
      </c>
      <c r="D62" s="9" t="s">
        <v>552</v>
      </c>
    </row>
    <row r="63" spans="1:4" x14ac:dyDescent="0.3">
      <c r="A63" t="s">
        <v>252</v>
      </c>
      <c r="B63">
        <f>'Engine Requirements'!B21</f>
        <v>1.26</v>
      </c>
      <c r="C63" t="s">
        <v>262</v>
      </c>
      <c r="D63" s="1" t="s">
        <v>44</v>
      </c>
    </row>
    <row r="65" spans="1:4" s="6" customFormat="1" x14ac:dyDescent="0.3">
      <c r="A65" s="8" t="s">
        <v>314</v>
      </c>
    </row>
    <row r="67" spans="1:4" x14ac:dyDescent="0.3">
      <c r="A67" t="s">
        <v>253</v>
      </c>
      <c r="B67">
        <v>0.7</v>
      </c>
      <c r="C67" s="15" t="s">
        <v>251</v>
      </c>
    </row>
    <row r="68" spans="1:4" x14ac:dyDescent="0.3">
      <c r="A68" t="s">
        <v>298</v>
      </c>
      <c r="B68">
        <v>8.3140000000000001</v>
      </c>
      <c r="C68" t="s">
        <v>301</v>
      </c>
      <c r="D68" s="9"/>
    </row>
    <row r="69" spans="1:4" x14ac:dyDescent="0.3">
      <c r="A69" t="s">
        <v>299</v>
      </c>
      <c r="B69">
        <f>B68/B53</f>
        <v>310.29904440970785</v>
      </c>
      <c r="C69" t="s">
        <v>300</v>
      </c>
      <c r="D69" s="9"/>
    </row>
    <row r="71" spans="1:4" x14ac:dyDescent="0.3">
      <c r="A71" t="s">
        <v>3</v>
      </c>
      <c r="B71">
        <f>D4*B67*B62</f>
        <v>860.38400000000001</v>
      </c>
      <c r="C71" t="s">
        <v>21</v>
      </c>
    </row>
    <row r="72" spans="1:4" x14ac:dyDescent="0.3">
      <c r="B72" s="1"/>
    </row>
    <row r="73" spans="1:4" x14ac:dyDescent="0.3">
      <c r="A73" t="s">
        <v>14</v>
      </c>
      <c r="B73">
        <f>(B50*B14)+(B51*D14)+(B52*G14)</f>
        <v>5.1206358763483999E-2</v>
      </c>
      <c r="C73" t="s">
        <v>305</v>
      </c>
      <c r="D73">
        <f>B73*1000</f>
        <v>51.206358763483998</v>
      </c>
    </row>
    <row r="74" spans="1:4" x14ac:dyDescent="0.3">
      <c r="C74" t="s">
        <v>306</v>
      </c>
    </row>
    <row r="75" spans="1:4" x14ac:dyDescent="0.3">
      <c r="A75" t="s">
        <v>15</v>
      </c>
      <c r="B75">
        <f>(P31*B71)/B73</f>
        <v>3096.3846763735341</v>
      </c>
      <c r="C75" t="s">
        <v>19</v>
      </c>
    </row>
    <row r="76" spans="1:4" x14ac:dyDescent="0.3">
      <c r="A76" t="s">
        <v>320</v>
      </c>
      <c r="B76">
        <f>B75/B53</f>
        <v>115564.73492946477</v>
      </c>
      <c r="C76" t="s">
        <v>308</v>
      </c>
    </row>
    <row r="77" spans="1:4" x14ac:dyDescent="0.3">
      <c r="A77" t="s">
        <v>309</v>
      </c>
      <c r="B77" s="1">
        <f>SQRT(((2*'Combustion Analysis'!B58)/(B58-1))*(B69*B75)*(1-(('Engine Requirements'!F44/'Engine Requirements'!F2)^(('Combustion Analysis'!B58-1)/'Combustion Analysis'!B58))))</f>
        <v>2050.2765758683177</v>
      </c>
      <c r="C77" s="1" t="s">
        <v>20</v>
      </c>
      <c r="D77" s="9" t="s">
        <v>307</v>
      </c>
    </row>
    <row r="78" spans="1:4" x14ac:dyDescent="0.3">
      <c r="A78" t="s">
        <v>321</v>
      </c>
      <c r="B78">
        <f>SQRT((('Engine Requirements'!F2/'Engine Requirements'!F44)^((B58-1)/B58)-1)/((0.5)*(B58-1)))</f>
        <v>2.6800833246936779</v>
      </c>
      <c r="C78" t="s">
        <v>152</v>
      </c>
      <c r="D78" s="9"/>
    </row>
    <row r="79" spans="1:4" x14ac:dyDescent="0.3">
      <c r="A79" t="s">
        <v>313</v>
      </c>
      <c r="B79">
        <v>9.81</v>
      </c>
      <c r="C79" t="s">
        <v>322</v>
      </c>
      <c r="D79" s="9"/>
    </row>
    <row r="80" spans="1:4" x14ac:dyDescent="0.3">
      <c r="A80" t="s">
        <v>323</v>
      </c>
      <c r="B80" s="1">
        <f>B77/B79</f>
        <v>208.99863158698446</v>
      </c>
      <c r="C80" s="1" t="s">
        <v>26</v>
      </c>
    </row>
  </sheetData>
  <conditionalFormatting sqref="B41">
    <cfRule type="cellIs" dxfId="12" priority="1" operator="equal">
      <formula>$B$36</formula>
    </cfRule>
    <cfRule type="cellIs" dxfId="11" priority="2" operator="equal">
      <formula>1.865</formula>
    </cfRule>
    <cfRule type="cellIs" dxfId="10" priority="3" operator="equal">
      <formula>$B$36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1"/>
  <sheetViews>
    <sheetView workbookViewId="0">
      <selection activeCell="A14" sqref="A14:D16"/>
    </sheetView>
  </sheetViews>
  <sheetFormatPr defaultRowHeight="14.4" x14ac:dyDescent="0.3"/>
  <cols>
    <col min="1" max="1" width="31.5546875" style="1" customWidth="1"/>
    <col min="3" max="3" width="15.88671875" bestFit="1" customWidth="1"/>
    <col min="4" max="4" width="12" bestFit="1" customWidth="1"/>
    <col min="5" max="5" width="11.33203125" bestFit="1" customWidth="1"/>
    <col min="6" max="6" width="12" bestFit="1" customWidth="1"/>
    <col min="7" max="7" width="21" bestFit="1" customWidth="1"/>
    <col min="10" max="10" width="18.44140625" customWidth="1"/>
    <col min="11" max="11" width="12.6640625" bestFit="1" customWidth="1"/>
    <col min="12" max="12" width="13.88671875" bestFit="1" customWidth="1"/>
    <col min="13" max="13" width="16.33203125" bestFit="1" customWidth="1"/>
  </cols>
  <sheetData>
    <row r="1" spans="1:7" s="6" customFormat="1" x14ac:dyDescent="0.3">
      <c r="A1" s="5" t="s">
        <v>76</v>
      </c>
    </row>
    <row r="2" spans="1:7" x14ac:dyDescent="0.3">
      <c r="A2" s="1" t="s">
        <v>37</v>
      </c>
      <c r="B2">
        <v>332</v>
      </c>
      <c r="C2" t="s">
        <v>38</v>
      </c>
      <c r="D2">
        <f>B2*6894.76</f>
        <v>2289060.3200000003</v>
      </c>
      <c r="E2" t="s">
        <v>148</v>
      </c>
      <c r="F2">
        <f>D2/1000</f>
        <v>2289.0603200000005</v>
      </c>
      <c r="G2" t="s">
        <v>311</v>
      </c>
    </row>
    <row r="3" spans="1:7" x14ac:dyDescent="0.3">
      <c r="A3" s="1" t="s">
        <v>71</v>
      </c>
      <c r="B3">
        <v>250</v>
      </c>
      <c r="C3" t="s">
        <v>27</v>
      </c>
      <c r="D3">
        <f>B3/2.2</f>
        <v>113.63636363636363</v>
      </c>
      <c r="E3" t="s">
        <v>29</v>
      </c>
      <c r="F3">
        <f>D3*9.8</f>
        <v>1113.6363636363635</v>
      </c>
      <c r="G3" t="s">
        <v>28</v>
      </c>
    </row>
    <row r="4" spans="1:7" x14ac:dyDescent="0.3">
      <c r="A4" s="1" t="s">
        <v>72</v>
      </c>
      <c r="B4">
        <f>(B2-B44)*B42</f>
        <v>170.55087325190334</v>
      </c>
      <c r="C4" t="s">
        <v>27</v>
      </c>
      <c r="D4">
        <f>B4/2.2</f>
        <v>77.523124205410596</v>
      </c>
      <c r="E4" t="s">
        <v>29</v>
      </c>
      <c r="F4">
        <f>B4*4.44822</f>
        <v>758.64780541658149</v>
      </c>
      <c r="G4" t="s">
        <v>28</v>
      </c>
    </row>
    <row r="5" spans="1:7" x14ac:dyDescent="0.3">
      <c r="A5" s="1" t="s">
        <v>367</v>
      </c>
      <c r="B5">
        <f>B4*B45</f>
        <v>0</v>
      </c>
      <c r="C5" t="s">
        <v>27</v>
      </c>
      <c r="D5">
        <f>B5/2.2</f>
        <v>0</v>
      </c>
      <c r="E5" t="s">
        <v>29</v>
      </c>
      <c r="F5">
        <f>B5*0.00444822</f>
        <v>0</v>
      </c>
      <c r="G5" t="s">
        <v>28</v>
      </c>
    </row>
    <row r="6" spans="1:7" x14ac:dyDescent="0.3">
      <c r="A6" s="1" t="s">
        <v>77</v>
      </c>
      <c r="B6">
        <f>'Combustion Analysis'!B80</f>
        <v>208.99863158698446</v>
      </c>
      <c r="C6" t="s">
        <v>26</v>
      </c>
    </row>
    <row r="7" spans="1:7" x14ac:dyDescent="0.3">
      <c r="A7" s="1" t="s">
        <v>61</v>
      </c>
      <c r="B7">
        <f>B6*9.8</f>
        <v>2048.1865895524479</v>
      </c>
      <c r="C7" t="s">
        <v>20</v>
      </c>
    </row>
    <row r="8" spans="1:7" x14ac:dyDescent="0.3">
      <c r="A8" s="1" t="s">
        <v>30</v>
      </c>
      <c r="B8">
        <f>F3/B7</f>
        <v>0.54371821850454838</v>
      </c>
      <c r="C8" t="s">
        <v>31</v>
      </c>
    </row>
    <row r="9" spans="1:7" x14ac:dyDescent="0.3">
      <c r="A9" s="1" t="s">
        <v>351</v>
      </c>
      <c r="B9">
        <v>4</v>
      </c>
      <c r="C9" t="s">
        <v>63</v>
      </c>
    </row>
    <row r="10" spans="1:7" x14ac:dyDescent="0.3">
      <c r="A10" s="1" t="s">
        <v>354</v>
      </c>
      <c r="B10">
        <v>0.78700000000000003</v>
      </c>
      <c r="C10" t="s">
        <v>63</v>
      </c>
    </row>
    <row r="11" spans="1:7" x14ac:dyDescent="0.3">
      <c r="A11" s="1" t="s">
        <v>353</v>
      </c>
      <c r="B11">
        <v>3.5</v>
      </c>
      <c r="C11" t="s">
        <v>63</v>
      </c>
    </row>
    <row r="12" spans="1:7" x14ac:dyDescent="0.3">
      <c r="A12" s="1" t="s">
        <v>352</v>
      </c>
      <c r="B12">
        <v>4</v>
      </c>
      <c r="C12" t="s">
        <v>63</v>
      </c>
      <c r="D12">
        <f>B12*0.0254</f>
        <v>0.1016</v>
      </c>
      <c r="E12" t="s">
        <v>53</v>
      </c>
    </row>
    <row r="14" spans="1:7" x14ac:dyDescent="0.3">
      <c r="A14" s="1" t="s">
        <v>391</v>
      </c>
      <c r="B14">
        <v>1.53</v>
      </c>
      <c r="C14" t="s">
        <v>63</v>
      </c>
    </row>
    <row r="15" spans="1:7" x14ac:dyDescent="0.3">
      <c r="A15" s="1" t="s">
        <v>389</v>
      </c>
      <c r="B15">
        <f>(PI()*(B14/2)^2)*B12</f>
        <v>7.3541542427883471</v>
      </c>
      <c r="C15" t="s">
        <v>390</v>
      </c>
      <c r="D15">
        <f>B15/6123.7</f>
        <v>1.2009331356513785E-3</v>
      </c>
      <c r="E15" t="s">
        <v>66</v>
      </c>
    </row>
    <row r="16" spans="1:7" x14ac:dyDescent="0.3">
      <c r="A16" s="1" t="s">
        <v>392</v>
      </c>
      <c r="B16">
        <f>D15/('Solution of Isentropic Expansio'!D47*'Engine Requirements'!B24)</f>
        <v>5.2811032678422333E-3</v>
      </c>
      <c r="C16" t="s">
        <v>26</v>
      </c>
    </row>
    <row r="18" spans="1:11" x14ac:dyDescent="0.3">
      <c r="A18" s="1" t="s">
        <v>355</v>
      </c>
      <c r="D18">
        <f>F18/1000000</f>
        <v>3.7628100000000001E-4</v>
      </c>
      <c r="E18" t="s">
        <v>66</v>
      </c>
      <c r="F18">
        <v>376.28100000000001</v>
      </c>
      <c r="G18" t="s">
        <v>329</v>
      </c>
      <c r="H18" t="s">
        <v>345</v>
      </c>
    </row>
    <row r="20" spans="1:11" s="6" customFormat="1" x14ac:dyDescent="0.3">
      <c r="A20" s="5" t="s">
        <v>78</v>
      </c>
    </row>
    <row r="21" spans="1:11" x14ac:dyDescent="0.3">
      <c r="A21" s="1" t="s">
        <v>252</v>
      </c>
      <c r="B21">
        <v>1.26</v>
      </c>
      <c r="C21" t="s">
        <v>261</v>
      </c>
    </row>
    <row r="22" spans="1:11" x14ac:dyDescent="0.3">
      <c r="A22" s="1" t="s">
        <v>377</v>
      </c>
      <c r="B22">
        <f>B21*B8/(B21+1)</f>
        <v>0.30313493598041197</v>
      </c>
      <c r="C22" t="s">
        <v>31</v>
      </c>
    </row>
    <row r="23" spans="1:11" x14ac:dyDescent="0.3">
      <c r="A23" s="1" t="s">
        <v>376</v>
      </c>
      <c r="B23">
        <f>B8/(B21+1)</f>
        <v>0.24058328252413647</v>
      </c>
      <c r="C23" t="s">
        <v>31</v>
      </c>
    </row>
    <row r="24" spans="1:11" x14ac:dyDescent="0.3">
      <c r="A24" s="1" t="s">
        <v>375</v>
      </c>
      <c r="B24">
        <f>SUM(B22,B23)</f>
        <v>0.54371821850454838</v>
      </c>
      <c r="C24" t="s">
        <v>31</v>
      </c>
    </row>
    <row r="25" spans="1:11" x14ac:dyDescent="0.3">
      <c r="A25" s="1" t="s">
        <v>45</v>
      </c>
      <c r="B25">
        <f>B22/'Combustion Analysis'!B3</f>
        <v>2.6567479051745134E-4</v>
      </c>
      <c r="C25" t="s">
        <v>47</v>
      </c>
      <c r="D25">
        <f>B25*1000000</f>
        <v>265.67479051745136</v>
      </c>
      <c r="E25" t="s">
        <v>51</v>
      </c>
      <c r="F25">
        <f>B25*61023.7</f>
        <v>16.212458714099796</v>
      </c>
    </row>
    <row r="26" spans="1:11" x14ac:dyDescent="0.3">
      <c r="A26" s="1" t="s">
        <v>46</v>
      </c>
      <c r="B26">
        <f>B23/'Combustion Analysis'!K3</f>
        <v>2.8240457621595769E-4</v>
      </c>
      <c r="C26" t="s">
        <v>47</v>
      </c>
      <c r="D26">
        <f>B26*1000000</f>
        <v>282.40457621595772</v>
      </c>
      <c r="E26" t="s">
        <v>51</v>
      </c>
      <c r="F26">
        <f>B26*61023.7</f>
        <v>17.233372137629736</v>
      </c>
    </row>
    <row r="27" spans="1:11" x14ac:dyDescent="0.3">
      <c r="A27" s="1" t="s">
        <v>331</v>
      </c>
      <c r="B27">
        <f>B25+B26</f>
        <v>5.4807936673340898E-4</v>
      </c>
      <c r="C27" t="s">
        <v>47</v>
      </c>
      <c r="D27">
        <f>B27*1000000</f>
        <v>548.07936673340896</v>
      </c>
      <c r="E27" t="s">
        <v>51</v>
      </c>
      <c r="F27">
        <f>B27*61023.7</f>
        <v>33.445830851729525</v>
      </c>
      <c r="G27" t="s">
        <v>410</v>
      </c>
      <c r="H27">
        <f>B27*3600</f>
        <v>1.9730857202402723</v>
      </c>
      <c r="I27" t="s">
        <v>414</v>
      </c>
      <c r="J27">
        <f>B27*264.172</f>
        <v>0.14478722246869813</v>
      </c>
      <c r="K27" t="s">
        <v>415</v>
      </c>
    </row>
    <row r="28" spans="1:11" x14ac:dyDescent="0.3">
      <c r="A28" s="1" t="s">
        <v>52</v>
      </c>
      <c r="B28">
        <v>17</v>
      </c>
    </row>
    <row r="29" spans="1:11" x14ac:dyDescent="0.3">
      <c r="A29" s="1" t="s">
        <v>56</v>
      </c>
      <c r="B29">
        <f>2*SQRT((B25/(B28*B32*PI())))</f>
        <v>8.1441383868357284E-4</v>
      </c>
      <c r="C29" t="s">
        <v>53</v>
      </c>
      <c r="D29">
        <f>B29*100</f>
        <v>8.1441383868357281E-2</v>
      </c>
      <c r="E29" t="s">
        <v>59</v>
      </c>
      <c r="F29">
        <f>D29*0.393701</f>
        <v>3.2063554270356134E-2</v>
      </c>
      <c r="G29" t="s">
        <v>63</v>
      </c>
    </row>
    <row r="30" spans="1:11" x14ac:dyDescent="0.3">
      <c r="A30" s="1" t="s">
        <v>54</v>
      </c>
      <c r="B30">
        <v>18</v>
      </c>
    </row>
    <row r="31" spans="1:11" x14ac:dyDescent="0.3">
      <c r="A31" s="1" t="s">
        <v>55</v>
      </c>
      <c r="B31">
        <f>2*SQRT((B26/(B30*B34*PI())))</f>
        <v>8.1600730077109412E-4</v>
      </c>
      <c r="C31" t="s">
        <v>53</v>
      </c>
      <c r="D31">
        <f>B31*100</f>
        <v>8.1600730077109412E-2</v>
      </c>
      <c r="E31" t="s">
        <v>59</v>
      </c>
      <c r="F31">
        <f>D31*0.393701</f>
        <v>3.2126289032088057E-2</v>
      </c>
      <c r="G31" t="s">
        <v>63</v>
      </c>
    </row>
    <row r="32" spans="1:11" x14ac:dyDescent="0.3">
      <c r="A32" s="1" t="s">
        <v>57</v>
      </c>
      <c r="B32">
        <v>30</v>
      </c>
      <c r="C32" t="s">
        <v>20</v>
      </c>
      <c r="H32" t="s">
        <v>132</v>
      </c>
    </row>
    <row r="33" spans="1:8" x14ac:dyDescent="0.3">
      <c r="A33" s="1" t="s">
        <v>69</v>
      </c>
      <c r="C33" t="s">
        <v>70</v>
      </c>
    </row>
    <row r="34" spans="1:8" x14ac:dyDescent="0.3">
      <c r="A34" s="1" t="s">
        <v>58</v>
      </c>
      <c r="B34">
        <v>30</v>
      </c>
      <c r="C34" t="s">
        <v>20</v>
      </c>
      <c r="H34" t="s">
        <v>132</v>
      </c>
    </row>
    <row r="35" spans="1:8" x14ac:dyDescent="0.3">
      <c r="A35" s="1" t="s">
        <v>60</v>
      </c>
      <c r="B35" s="4">
        <v>0.14000000000000001</v>
      </c>
    </row>
    <row r="36" spans="1:8" x14ac:dyDescent="0.3">
      <c r="A36" s="1" t="s">
        <v>245</v>
      </c>
      <c r="B36">
        <f>B35*B2</f>
        <v>46.480000000000004</v>
      </c>
      <c r="C36" t="s">
        <v>38</v>
      </c>
    </row>
    <row r="37" spans="1:8" x14ac:dyDescent="0.3">
      <c r="A37" s="1" t="s">
        <v>246</v>
      </c>
      <c r="B37">
        <f>B35*B2</f>
        <v>46.480000000000004</v>
      </c>
      <c r="C37" t="s">
        <v>38</v>
      </c>
    </row>
    <row r="38" spans="1:8" x14ac:dyDescent="0.3">
      <c r="A38" s="1" t="s">
        <v>247</v>
      </c>
      <c r="B38">
        <f>B2+B36</f>
        <v>378.48</v>
      </c>
    </row>
    <row r="40" spans="1:8" s="6" customFormat="1" x14ac:dyDescent="0.3">
      <c r="A40" s="5" t="s">
        <v>79</v>
      </c>
    </row>
    <row r="41" spans="1:8" x14ac:dyDescent="0.3">
      <c r="A41" s="1" t="s">
        <v>73</v>
      </c>
      <c r="B41">
        <f>'Solution of Isentropic Expansio'!I26</f>
        <v>0.82663628414052504</v>
      </c>
      <c r="C41" t="s">
        <v>63</v>
      </c>
      <c r="D41">
        <f>B41*0.0254</f>
        <v>2.0996561617169333E-2</v>
      </c>
      <c r="E41" t="s">
        <v>53</v>
      </c>
    </row>
    <row r="42" spans="1:8" x14ac:dyDescent="0.3">
      <c r="A42" s="1" t="s">
        <v>75</v>
      </c>
      <c r="B42">
        <f>PI()*(B41/2)^2</f>
        <v>0.53668419982964699</v>
      </c>
      <c r="C42" t="s">
        <v>74</v>
      </c>
    </row>
    <row r="43" spans="1:8" x14ac:dyDescent="0.3">
      <c r="A43" s="1" t="s">
        <v>62</v>
      </c>
      <c r="B43">
        <v>0.98</v>
      </c>
      <c r="H43" t="s">
        <v>248</v>
      </c>
    </row>
    <row r="44" spans="1:8" x14ac:dyDescent="0.3">
      <c r="A44" s="1" t="s">
        <v>310</v>
      </c>
      <c r="B44">
        <f>F44*0.145038</f>
        <v>14.213723999999999</v>
      </c>
      <c r="C44" t="s">
        <v>312</v>
      </c>
      <c r="D44">
        <f>F44*1000</f>
        <v>98000</v>
      </c>
      <c r="E44" t="s">
        <v>148</v>
      </c>
      <c r="F44">
        <v>98</v>
      </c>
      <c r="G44" t="s">
        <v>311</v>
      </c>
    </row>
    <row r="45" spans="1:8" x14ac:dyDescent="0.3">
      <c r="A45" s="1" t="s">
        <v>366</v>
      </c>
      <c r="C45" t="s">
        <v>152</v>
      </c>
    </row>
    <row r="47" spans="1:8" x14ac:dyDescent="0.3">
      <c r="A47" s="9" t="s">
        <v>315</v>
      </c>
    </row>
    <row r="48" spans="1:8" x14ac:dyDescent="0.3">
      <c r="A48" t="s">
        <v>316</v>
      </c>
      <c r="B48">
        <v>1</v>
      </c>
    </row>
    <row r="49" spans="1:13" x14ac:dyDescent="0.3">
      <c r="A49" t="s">
        <v>317</v>
      </c>
      <c r="B49">
        <f>B41</f>
        <v>0.82663628414052504</v>
      </c>
      <c r="C49" t="s">
        <v>63</v>
      </c>
      <c r="D49">
        <f>B49*0.0254</f>
        <v>2.0996561617169333E-2</v>
      </c>
      <c r="E49" t="s">
        <v>53</v>
      </c>
    </row>
    <row r="50" spans="1:13" x14ac:dyDescent="0.3">
      <c r="A50" t="s">
        <v>319</v>
      </c>
      <c r="B50">
        <f>B42</f>
        <v>0.53668419982964699</v>
      </c>
      <c r="C50" t="s">
        <v>74</v>
      </c>
      <c r="D50">
        <f>B50*0.00064516</f>
        <v>3.4624717836209505E-4</v>
      </c>
      <c r="E50" t="s">
        <v>318</v>
      </c>
    </row>
    <row r="51" spans="1:13" x14ac:dyDescent="0.3">
      <c r="A51" t="s">
        <v>372</v>
      </c>
      <c r="D51">
        <f>(D2/((1+0.5*('Combustion Analysis'!B58-1))^(('Combustion Analysis'!B58/('Combustion Analysis'!B58-1)))))</f>
        <v>1237266.9629106265</v>
      </c>
      <c r="E51" t="s">
        <v>148</v>
      </c>
      <c r="F51">
        <f>D51/1000</f>
        <v>1237.2669629106265</v>
      </c>
      <c r="G51" t="s">
        <v>311</v>
      </c>
      <c r="H51">
        <f>F51/F2</f>
        <v>0.54051304463249195</v>
      </c>
    </row>
    <row r="52" spans="1:13" x14ac:dyDescent="0.3">
      <c r="A52"/>
    </row>
    <row r="53" spans="1:13" x14ac:dyDescent="0.3">
      <c r="A53" s="9" t="s">
        <v>344</v>
      </c>
    </row>
    <row r="54" spans="1:13" x14ac:dyDescent="0.3">
      <c r="A54" t="s">
        <v>324</v>
      </c>
      <c r="B54">
        <f>D54*1550</f>
        <v>1.8469266804044822</v>
      </c>
      <c r="C54" t="s">
        <v>74</v>
      </c>
      <c r="D54">
        <f>(D50/'Combustion Analysis'!B78)*((1+(('Combustion Analysis'!B58-1)/2)*'Combustion Analysis'!B78^2)/(('Combustion Analysis'!B58+1)/2))^(('Combustion Analysis'!B58+1)/(2*('Combustion Analysis'!B58-1)))</f>
        <v>1.1915656002609563E-3</v>
      </c>
      <c r="E54" t="s">
        <v>318</v>
      </c>
    </row>
    <row r="55" spans="1:13" x14ac:dyDescent="0.3">
      <c r="A55" t="s">
        <v>325</v>
      </c>
      <c r="B55">
        <f>D55*39.3701</f>
        <v>1.5334886137820731</v>
      </c>
      <c r="C55" t="s">
        <v>63</v>
      </c>
      <c r="D55">
        <f>2*SQRT(D54/PI())</f>
        <v>3.8950589756746187E-2</v>
      </c>
      <c r="E55" t="s">
        <v>53</v>
      </c>
    </row>
    <row r="56" spans="1:13" x14ac:dyDescent="0.3">
      <c r="A56" t="s">
        <v>346</v>
      </c>
      <c r="B56">
        <f>D56*39.3701</f>
        <v>1.3190035708722159</v>
      </c>
      <c r="C56" t="s">
        <v>63</v>
      </c>
      <c r="D56">
        <f>(D55/2-D41/2)/TAN(RADIANS(15))</f>
        <v>3.3502672608711072E-2</v>
      </c>
      <c r="E56" t="s">
        <v>53</v>
      </c>
    </row>
    <row r="58" spans="1:13" s="6" customFormat="1" x14ac:dyDescent="0.3">
      <c r="A58" s="8" t="s">
        <v>347</v>
      </c>
    </row>
    <row r="59" spans="1:13" x14ac:dyDescent="0.3">
      <c r="A59" s="9" t="s">
        <v>348</v>
      </c>
    </row>
    <row r="60" spans="1:13" x14ac:dyDescent="0.3">
      <c r="A60" t="s">
        <v>359</v>
      </c>
      <c r="B60">
        <v>0.1</v>
      </c>
    </row>
    <row r="61" spans="1:13" x14ac:dyDescent="0.3">
      <c r="A61" s="1" t="s">
        <v>356</v>
      </c>
      <c r="B61" s="1" t="s">
        <v>349</v>
      </c>
      <c r="C61" s="1" t="s">
        <v>357</v>
      </c>
      <c r="D61" s="1" t="s">
        <v>360</v>
      </c>
      <c r="E61" s="1" t="s">
        <v>364</v>
      </c>
      <c r="F61" s="1" t="s">
        <v>365</v>
      </c>
      <c r="G61" s="1" t="s">
        <v>361</v>
      </c>
      <c r="H61" s="1" t="s">
        <v>362</v>
      </c>
      <c r="I61" s="1" t="s">
        <v>363</v>
      </c>
      <c r="J61" s="1" t="s">
        <v>369</v>
      </c>
      <c r="K61" s="1" t="s">
        <v>368</v>
      </c>
      <c r="L61" s="1" t="s">
        <v>373</v>
      </c>
      <c r="M61" s="1" t="s">
        <v>387</v>
      </c>
    </row>
    <row r="62" spans="1:13" x14ac:dyDescent="0.3">
      <c r="A62">
        <v>0</v>
      </c>
      <c r="B62" s="27" t="s">
        <v>350</v>
      </c>
      <c r="C62">
        <f>B11</f>
        <v>3.5</v>
      </c>
      <c r="D62">
        <f>C62/2</f>
        <v>1.75</v>
      </c>
      <c r="E62">
        <f>PI()*D62^2</f>
        <v>9.6211275016187408</v>
      </c>
      <c r="F62">
        <f>E62*0.00064516</f>
        <v>6.2071666189443464E-3</v>
      </c>
      <c r="G62">
        <f>'Combustion Analysis'!B75</f>
        <v>3096.3846763735341</v>
      </c>
      <c r="J62">
        <f>('Combustion Analysis'!B69*G62)/K62</f>
        <v>0.41973782770546214</v>
      </c>
      <c r="K62">
        <f>D2</f>
        <v>2289060.3200000003</v>
      </c>
      <c r="L62">
        <f>K62/1000</f>
        <v>2289.0603200000005</v>
      </c>
      <c r="M62">
        <f>E62/$E$93</f>
        <v>17.926981089945738</v>
      </c>
    </row>
    <row r="63" spans="1:13" x14ac:dyDescent="0.3">
      <c r="A63">
        <f>B63*$B$60</f>
        <v>0.1</v>
      </c>
      <c r="B63">
        <v>1</v>
      </c>
      <c r="C63">
        <f t="shared" ref="C63:C92" si="0">$C$62-((($C$62-$C$93)/$B$93)*B63)</f>
        <v>3.4137624607787265</v>
      </c>
      <c r="D63">
        <f t="shared" ref="D63:D110" si="1">C63/2</f>
        <v>1.7068812303893632</v>
      </c>
      <c r="E63">
        <f t="shared" ref="E63:E110" si="2">PI()*D63^2</f>
        <v>9.1528528051224196</v>
      </c>
      <c r="F63">
        <f t="shared" ref="F63:F92" si="3">E63*0.00064516</f>
        <v>5.9050545157527798E-3</v>
      </c>
      <c r="K63">
        <f>460.37*(C63^(-3.933))</f>
        <v>3.6804460204720493</v>
      </c>
      <c r="L63">
        <f t="shared" ref="L63:L93" si="4">K63/1000</f>
        <v>3.6804460204720494E-3</v>
      </c>
      <c r="M63">
        <f t="shared" ref="M63:M92" si="5">E63/$E$93</f>
        <v>17.054448049761287</v>
      </c>
    </row>
    <row r="64" spans="1:13" x14ac:dyDescent="0.3">
      <c r="A64">
        <f t="shared" ref="A64:A92" si="6">B64*$B$60</f>
        <v>0.2</v>
      </c>
      <c r="B64">
        <v>2</v>
      </c>
      <c r="C64">
        <f t="shared" si="0"/>
        <v>3.3275249215574534</v>
      </c>
      <c r="D64">
        <f t="shared" si="1"/>
        <v>1.6637624607787267</v>
      </c>
      <c r="E64">
        <f t="shared" si="2"/>
        <v>8.6962599845177042</v>
      </c>
      <c r="F64">
        <f t="shared" si="3"/>
        <v>5.6104790916114422E-3</v>
      </c>
      <c r="L64">
        <f t="shared" si="4"/>
        <v>0</v>
      </c>
      <c r="M64">
        <f t="shared" si="5"/>
        <v>16.203681769051613</v>
      </c>
    </row>
    <row r="65" spans="1:13" x14ac:dyDescent="0.3">
      <c r="A65">
        <f t="shared" si="6"/>
        <v>0.30000000000000004</v>
      </c>
      <c r="B65">
        <v>3</v>
      </c>
      <c r="C65">
        <f t="shared" si="0"/>
        <v>3.2412873823361799</v>
      </c>
      <c r="D65">
        <f t="shared" si="1"/>
        <v>1.6206436911680899</v>
      </c>
      <c r="E65">
        <f t="shared" si="2"/>
        <v>8.2513490398045963</v>
      </c>
      <c r="F65">
        <f t="shared" si="3"/>
        <v>5.3234403465203329E-3</v>
      </c>
      <c r="L65">
        <f t="shared" si="4"/>
        <v>0</v>
      </c>
      <c r="M65">
        <f t="shared" si="5"/>
        <v>15.374682247816724</v>
      </c>
    </row>
    <row r="66" spans="1:13" x14ac:dyDescent="0.3">
      <c r="A66">
        <f t="shared" si="6"/>
        <v>0.4</v>
      </c>
      <c r="B66">
        <v>4</v>
      </c>
      <c r="C66">
        <f t="shared" si="0"/>
        <v>3.1550498431149063</v>
      </c>
      <c r="D66">
        <f t="shared" si="1"/>
        <v>1.5775249215574532</v>
      </c>
      <c r="E66">
        <f t="shared" si="2"/>
        <v>7.8181199709830915</v>
      </c>
      <c r="F66">
        <f t="shared" si="3"/>
        <v>5.0439382804794508E-3</v>
      </c>
      <c r="L66">
        <f t="shared" si="4"/>
        <v>0</v>
      </c>
      <c r="M66">
        <f t="shared" si="5"/>
        <v>14.567449486056605</v>
      </c>
    </row>
    <row r="67" spans="1:13" x14ac:dyDescent="0.3">
      <c r="A67">
        <f t="shared" si="6"/>
        <v>0.5</v>
      </c>
      <c r="B67">
        <v>5</v>
      </c>
      <c r="C67">
        <f t="shared" si="0"/>
        <v>3.0688123038936332</v>
      </c>
      <c r="D67">
        <f t="shared" si="1"/>
        <v>1.5344061519468166</v>
      </c>
      <c r="E67">
        <f t="shared" si="2"/>
        <v>7.3965727780531969</v>
      </c>
      <c r="F67">
        <f t="shared" si="3"/>
        <v>4.7719728934888005E-3</v>
      </c>
      <c r="L67">
        <f t="shared" si="4"/>
        <v>0</v>
      </c>
      <c r="M67">
        <f t="shared" si="5"/>
        <v>13.781983483771274</v>
      </c>
    </row>
    <row r="68" spans="1:13" x14ac:dyDescent="0.3">
      <c r="A68">
        <f t="shared" si="6"/>
        <v>0.60000000000000009</v>
      </c>
      <c r="B68">
        <v>6</v>
      </c>
      <c r="C68">
        <f t="shared" si="0"/>
        <v>2.9825747646723597</v>
      </c>
      <c r="D68">
        <f t="shared" si="1"/>
        <v>1.4912873823361799</v>
      </c>
      <c r="E68">
        <f t="shared" si="2"/>
        <v>6.9867074610149054</v>
      </c>
      <c r="F68">
        <f t="shared" si="3"/>
        <v>4.5075441855483766E-3</v>
      </c>
      <c r="L68">
        <f t="shared" si="4"/>
        <v>0</v>
      </c>
      <c r="M68">
        <f t="shared" si="5"/>
        <v>13.018284240960716</v>
      </c>
    </row>
    <row r="69" spans="1:13" x14ac:dyDescent="0.3">
      <c r="A69">
        <f t="shared" si="6"/>
        <v>0.70000000000000007</v>
      </c>
      <c r="B69">
        <v>7</v>
      </c>
      <c r="C69">
        <f t="shared" si="0"/>
        <v>2.8963372254510862</v>
      </c>
      <c r="D69">
        <f t="shared" si="1"/>
        <v>1.4481686127255431</v>
      </c>
      <c r="E69">
        <f t="shared" si="2"/>
        <v>6.5885240198682196</v>
      </c>
      <c r="F69">
        <f t="shared" si="3"/>
        <v>4.2506521566581801E-3</v>
      </c>
      <c r="L69">
        <f t="shared" si="4"/>
        <v>0</v>
      </c>
      <c r="M69">
        <f t="shared" si="5"/>
        <v>12.276351757624937</v>
      </c>
    </row>
    <row r="70" spans="1:13" x14ac:dyDescent="0.3">
      <c r="A70">
        <f t="shared" si="6"/>
        <v>0.8</v>
      </c>
      <c r="B70">
        <v>8</v>
      </c>
      <c r="C70">
        <f t="shared" si="0"/>
        <v>2.8100996862298127</v>
      </c>
      <c r="D70">
        <f t="shared" si="1"/>
        <v>1.4050498431149063</v>
      </c>
      <c r="E70">
        <f t="shared" si="2"/>
        <v>6.2020224546131404</v>
      </c>
      <c r="F70">
        <f t="shared" si="3"/>
        <v>4.0012968068182135E-3</v>
      </c>
      <c r="L70">
        <f t="shared" si="4"/>
        <v>0</v>
      </c>
      <c r="M70">
        <f t="shared" si="5"/>
        <v>11.556186033763938</v>
      </c>
    </row>
    <row r="71" spans="1:13" x14ac:dyDescent="0.3">
      <c r="A71">
        <f t="shared" si="6"/>
        <v>0.9</v>
      </c>
      <c r="B71">
        <v>9</v>
      </c>
      <c r="C71">
        <f t="shared" si="0"/>
        <v>2.7238621470085396</v>
      </c>
      <c r="D71">
        <f t="shared" si="1"/>
        <v>1.3619310735042698</v>
      </c>
      <c r="E71">
        <f t="shared" si="2"/>
        <v>5.8272027652496696</v>
      </c>
      <c r="F71">
        <f t="shared" si="3"/>
        <v>3.7594781360284768E-3</v>
      </c>
      <c r="L71">
        <f t="shared" si="4"/>
        <v>0</v>
      </c>
      <c r="M71">
        <f t="shared" si="5"/>
        <v>10.85778706937772</v>
      </c>
    </row>
    <row r="72" spans="1:13" x14ac:dyDescent="0.3">
      <c r="A72">
        <f t="shared" si="6"/>
        <v>1</v>
      </c>
      <c r="B72">
        <v>10</v>
      </c>
      <c r="C72">
        <f t="shared" si="0"/>
        <v>2.637624607787266</v>
      </c>
      <c r="D72">
        <f t="shared" si="1"/>
        <v>1.318812303893633</v>
      </c>
      <c r="E72">
        <f t="shared" si="2"/>
        <v>5.4640649517778037</v>
      </c>
      <c r="F72">
        <f t="shared" si="3"/>
        <v>3.5251961442889679E-3</v>
      </c>
      <c r="L72">
        <f t="shared" si="4"/>
        <v>0</v>
      </c>
      <c r="M72">
        <f t="shared" si="5"/>
        <v>10.181154864466281</v>
      </c>
    </row>
    <row r="73" spans="1:13" x14ac:dyDescent="0.3">
      <c r="A73">
        <f t="shared" si="6"/>
        <v>1.1000000000000001</v>
      </c>
      <c r="B73">
        <v>11</v>
      </c>
      <c r="C73">
        <f t="shared" si="0"/>
        <v>2.551387068565993</v>
      </c>
      <c r="D73">
        <f t="shared" si="1"/>
        <v>1.2756935342829965</v>
      </c>
      <c r="E73">
        <f t="shared" si="2"/>
        <v>5.1126090141975444</v>
      </c>
      <c r="F73">
        <f t="shared" si="3"/>
        <v>3.2984508315996876E-3</v>
      </c>
      <c r="L73">
        <f t="shared" si="4"/>
        <v>0</v>
      </c>
      <c r="M73">
        <f t="shared" si="5"/>
        <v>9.5262894190296201</v>
      </c>
    </row>
    <row r="74" spans="1:13" x14ac:dyDescent="0.3">
      <c r="A74">
        <f t="shared" si="6"/>
        <v>1.2000000000000002</v>
      </c>
      <c r="B74">
        <v>12</v>
      </c>
      <c r="C74">
        <f t="shared" si="0"/>
        <v>2.4651495293447194</v>
      </c>
      <c r="D74">
        <f t="shared" si="1"/>
        <v>1.2325747646723597</v>
      </c>
      <c r="E74">
        <f t="shared" si="2"/>
        <v>4.77283495250889</v>
      </c>
      <c r="F74">
        <f t="shared" si="3"/>
        <v>3.0792421979606356E-3</v>
      </c>
      <c r="L74">
        <f t="shared" si="4"/>
        <v>0</v>
      </c>
      <c r="M74">
        <f t="shared" si="5"/>
        <v>8.8931907330677369</v>
      </c>
    </row>
    <row r="75" spans="1:13" x14ac:dyDescent="0.3">
      <c r="A75">
        <f t="shared" si="6"/>
        <v>1.3</v>
      </c>
      <c r="B75">
        <v>13</v>
      </c>
      <c r="C75">
        <f t="shared" si="0"/>
        <v>2.3789119901234459</v>
      </c>
      <c r="D75">
        <f t="shared" si="1"/>
        <v>1.1894559950617229</v>
      </c>
      <c r="E75">
        <f t="shared" si="2"/>
        <v>4.4447427667118422</v>
      </c>
      <c r="F75">
        <f t="shared" si="3"/>
        <v>2.8675702433718121E-3</v>
      </c>
      <c r="L75">
        <f t="shared" si="4"/>
        <v>0</v>
      </c>
      <c r="M75">
        <f t="shared" si="5"/>
        <v>8.2818588065806331</v>
      </c>
    </row>
    <row r="76" spans="1:13" x14ac:dyDescent="0.3">
      <c r="A76">
        <f t="shared" si="6"/>
        <v>1.4000000000000001</v>
      </c>
      <c r="B76">
        <v>14</v>
      </c>
      <c r="C76">
        <f t="shared" si="0"/>
        <v>2.2926744509021724</v>
      </c>
      <c r="D76">
        <f t="shared" si="1"/>
        <v>1.1463372254510862</v>
      </c>
      <c r="E76">
        <f t="shared" si="2"/>
        <v>4.1283324568064002</v>
      </c>
      <c r="F76">
        <f t="shared" si="3"/>
        <v>2.6634349678332169E-3</v>
      </c>
      <c r="L76">
        <f t="shared" si="4"/>
        <v>0</v>
      </c>
      <c r="M76">
        <f t="shared" si="5"/>
        <v>7.6922936395683079</v>
      </c>
    </row>
    <row r="77" spans="1:13" x14ac:dyDescent="0.3">
      <c r="A77">
        <f t="shared" si="6"/>
        <v>1.5</v>
      </c>
      <c r="B77">
        <v>15</v>
      </c>
      <c r="C77">
        <f t="shared" si="0"/>
        <v>2.2064369116808988</v>
      </c>
      <c r="D77">
        <f t="shared" si="1"/>
        <v>1.1032184558404494</v>
      </c>
      <c r="E77">
        <f t="shared" si="2"/>
        <v>3.8236040227925652</v>
      </c>
      <c r="F77">
        <f t="shared" si="3"/>
        <v>2.4668363713448512E-3</v>
      </c>
      <c r="L77">
        <f t="shared" si="4"/>
        <v>0</v>
      </c>
      <c r="M77">
        <f t="shared" si="5"/>
        <v>7.1244952320307631</v>
      </c>
    </row>
    <row r="78" spans="1:13" x14ac:dyDescent="0.3">
      <c r="A78">
        <f t="shared" si="6"/>
        <v>1.6</v>
      </c>
      <c r="B78">
        <v>16</v>
      </c>
      <c r="C78">
        <f t="shared" si="0"/>
        <v>2.1201993724596258</v>
      </c>
      <c r="D78">
        <f t="shared" si="1"/>
        <v>1.0600996862298129</v>
      </c>
      <c r="E78">
        <f t="shared" si="2"/>
        <v>3.5305574646703373</v>
      </c>
      <c r="F78">
        <f t="shared" si="3"/>
        <v>2.2777744539067149E-3</v>
      </c>
      <c r="L78">
        <f t="shared" si="4"/>
        <v>0</v>
      </c>
      <c r="M78">
        <f t="shared" si="5"/>
        <v>6.5784635839679986</v>
      </c>
    </row>
    <row r="79" spans="1:13" x14ac:dyDescent="0.3">
      <c r="A79">
        <f t="shared" si="6"/>
        <v>1.7000000000000002</v>
      </c>
      <c r="B79">
        <v>17</v>
      </c>
      <c r="C79">
        <f t="shared" si="0"/>
        <v>2.0339618332383527</v>
      </c>
      <c r="D79">
        <f t="shared" si="1"/>
        <v>1.0169809166191763</v>
      </c>
      <c r="E79">
        <f t="shared" si="2"/>
        <v>3.2491927824397155</v>
      </c>
      <c r="F79">
        <f t="shared" si="3"/>
        <v>2.0962492155188069E-3</v>
      </c>
      <c r="L79">
        <f t="shared" si="4"/>
        <v>0</v>
      </c>
      <c r="M79">
        <f t="shared" si="5"/>
        <v>6.0541986953800144</v>
      </c>
    </row>
    <row r="80" spans="1:13" x14ac:dyDescent="0.3">
      <c r="A80">
        <f t="shared" si="6"/>
        <v>1.8</v>
      </c>
      <c r="B80">
        <v>18</v>
      </c>
      <c r="C80">
        <f t="shared" si="0"/>
        <v>1.9477242940170789</v>
      </c>
      <c r="D80">
        <f t="shared" si="1"/>
        <v>0.97386214700853946</v>
      </c>
      <c r="E80">
        <f t="shared" si="2"/>
        <v>2.9795099761006982</v>
      </c>
      <c r="F80">
        <f t="shared" si="3"/>
        <v>1.9222606561811264E-3</v>
      </c>
      <c r="L80">
        <f t="shared" si="4"/>
        <v>0</v>
      </c>
      <c r="M80">
        <f t="shared" si="5"/>
        <v>5.5517005662668044</v>
      </c>
    </row>
    <row r="81" spans="1:13" x14ac:dyDescent="0.3">
      <c r="A81">
        <f t="shared" si="6"/>
        <v>1.9000000000000001</v>
      </c>
      <c r="B81">
        <v>19</v>
      </c>
      <c r="C81">
        <f t="shared" si="0"/>
        <v>1.8614867547958056</v>
      </c>
      <c r="D81">
        <f t="shared" si="1"/>
        <v>0.9307433773979028</v>
      </c>
      <c r="E81">
        <f t="shared" si="2"/>
        <v>2.721509045653288</v>
      </c>
      <c r="F81">
        <f t="shared" si="3"/>
        <v>1.7558087758936752E-3</v>
      </c>
      <c r="L81">
        <f t="shared" si="4"/>
        <v>0</v>
      </c>
      <c r="M81">
        <f t="shared" si="5"/>
        <v>5.0709691966283765</v>
      </c>
    </row>
    <row r="82" spans="1:13" x14ac:dyDescent="0.3">
      <c r="A82">
        <f t="shared" si="6"/>
        <v>2</v>
      </c>
      <c r="B82">
        <v>20</v>
      </c>
      <c r="C82">
        <f t="shared" si="0"/>
        <v>1.7752492155745321</v>
      </c>
      <c r="D82">
        <f t="shared" si="1"/>
        <v>0.88762460778726604</v>
      </c>
      <c r="E82">
        <f t="shared" si="2"/>
        <v>2.4751899910974835</v>
      </c>
      <c r="F82">
        <f t="shared" si="3"/>
        <v>1.5968935746564525E-3</v>
      </c>
      <c r="L82">
        <f t="shared" si="4"/>
        <v>0</v>
      </c>
      <c r="M82">
        <f t="shared" si="5"/>
        <v>4.6120045864647263</v>
      </c>
    </row>
    <row r="83" spans="1:13" x14ac:dyDescent="0.3">
      <c r="A83">
        <f t="shared" si="6"/>
        <v>2.1</v>
      </c>
      <c r="B83">
        <v>21</v>
      </c>
      <c r="C83">
        <f t="shared" si="0"/>
        <v>1.6890116763532588</v>
      </c>
      <c r="D83">
        <f t="shared" si="1"/>
        <v>0.84450583817662939</v>
      </c>
      <c r="E83">
        <f t="shared" si="2"/>
        <v>2.2405528124332856</v>
      </c>
      <c r="F83">
        <f t="shared" si="3"/>
        <v>1.4455150524694585E-3</v>
      </c>
      <c r="L83">
        <f t="shared" si="4"/>
        <v>0</v>
      </c>
      <c r="M83">
        <f t="shared" si="5"/>
        <v>4.1748067357758556</v>
      </c>
    </row>
    <row r="84" spans="1:13" x14ac:dyDescent="0.3">
      <c r="A84">
        <f t="shared" si="6"/>
        <v>2.2000000000000002</v>
      </c>
      <c r="B84">
        <v>22</v>
      </c>
      <c r="C84">
        <f t="shared" si="0"/>
        <v>1.6027741371319855</v>
      </c>
      <c r="D84">
        <f t="shared" si="1"/>
        <v>0.80138706856599273</v>
      </c>
      <c r="E84">
        <f t="shared" si="2"/>
        <v>2.0175975096606944</v>
      </c>
      <c r="F84">
        <f t="shared" si="3"/>
        <v>1.3016732093326935E-3</v>
      </c>
      <c r="L84">
        <f t="shared" si="4"/>
        <v>0</v>
      </c>
      <c r="M84">
        <f t="shared" si="5"/>
        <v>3.7593756445617652</v>
      </c>
    </row>
    <row r="85" spans="1:13" x14ac:dyDescent="0.3">
      <c r="A85">
        <f t="shared" si="6"/>
        <v>2.3000000000000003</v>
      </c>
      <c r="B85">
        <v>23</v>
      </c>
      <c r="C85">
        <f t="shared" si="0"/>
        <v>1.5165365979107119</v>
      </c>
      <c r="D85">
        <f t="shared" si="1"/>
        <v>0.75826829895535597</v>
      </c>
      <c r="E85">
        <f t="shared" si="2"/>
        <v>1.8063240827797085</v>
      </c>
      <c r="F85">
        <f t="shared" si="3"/>
        <v>1.1653680452461566E-3</v>
      </c>
      <c r="K85">
        <f>L85*1000</f>
        <v>2219973.2509922297</v>
      </c>
      <c r="L85">
        <f>3491.7*(C85^3)-14296*(C85^2)+(19578*C85)-6770.2</f>
        <v>2219.9732509922296</v>
      </c>
      <c r="M85">
        <f t="shared" si="5"/>
        <v>3.3657113128224521</v>
      </c>
    </row>
    <row r="86" spans="1:13" x14ac:dyDescent="0.3">
      <c r="A86">
        <f t="shared" si="6"/>
        <v>2.4000000000000004</v>
      </c>
      <c r="B86">
        <v>24</v>
      </c>
      <c r="C86">
        <f t="shared" si="0"/>
        <v>1.4302990586894389</v>
      </c>
      <c r="D86">
        <f t="shared" si="1"/>
        <v>0.71514952934471943</v>
      </c>
      <c r="E86">
        <f t="shared" si="2"/>
        <v>1.6067325317903298</v>
      </c>
      <c r="F86">
        <f t="shared" si="3"/>
        <v>1.0365995602098492E-3</v>
      </c>
      <c r="K86">
        <f t="shared" ref="K86:K92" si="7">L86*1000</f>
        <v>2202936.7293099794</v>
      </c>
      <c r="L86">
        <f t="shared" ref="L86:L92" si="8">3491.7*(C86^3)-14296*(C86^2)+(19578*C86)-6770.2</f>
        <v>2202.9367293099795</v>
      </c>
      <c r="M86">
        <f t="shared" si="5"/>
        <v>2.9938137405579202</v>
      </c>
    </row>
    <row r="87" spans="1:13" x14ac:dyDescent="0.3">
      <c r="A87">
        <f t="shared" si="6"/>
        <v>2.5</v>
      </c>
      <c r="B87">
        <v>25</v>
      </c>
      <c r="C87">
        <f t="shared" si="0"/>
        <v>1.3440615194681653</v>
      </c>
      <c r="D87">
        <f t="shared" si="1"/>
        <v>0.67203075973408266</v>
      </c>
      <c r="E87">
        <f t="shared" si="2"/>
        <v>1.4188228566925563</v>
      </c>
      <c r="F87">
        <f t="shared" si="3"/>
        <v>9.1536775422376953E-4</v>
      </c>
      <c r="K87">
        <f t="shared" si="7"/>
        <v>2196111.4712177524</v>
      </c>
      <c r="L87">
        <f t="shared" si="8"/>
        <v>2196.1114712177523</v>
      </c>
      <c r="M87">
        <f t="shared" si="5"/>
        <v>2.6436829277681655</v>
      </c>
    </row>
    <row r="88" spans="1:13" x14ac:dyDescent="0.3">
      <c r="A88">
        <f t="shared" si="6"/>
        <v>2.6</v>
      </c>
      <c r="B88">
        <v>26</v>
      </c>
      <c r="C88">
        <f t="shared" si="0"/>
        <v>1.2578239802468918</v>
      </c>
      <c r="D88">
        <f t="shared" si="1"/>
        <v>0.6289119901234459</v>
      </c>
      <c r="E88">
        <f t="shared" si="2"/>
        <v>1.2425950574863889</v>
      </c>
      <c r="F88">
        <f t="shared" si="3"/>
        <v>8.0167262728791868E-4</v>
      </c>
      <c r="K88">
        <f t="shared" si="7"/>
        <v>2186061.2525853547</v>
      </c>
      <c r="L88">
        <f t="shared" si="8"/>
        <v>2186.0612525853549</v>
      </c>
      <c r="M88">
        <f t="shared" si="5"/>
        <v>2.3153188744531894</v>
      </c>
    </row>
    <row r="89" spans="1:13" x14ac:dyDescent="0.3">
      <c r="A89">
        <f t="shared" si="6"/>
        <v>2.7</v>
      </c>
      <c r="B89">
        <v>27</v>
      </c>
      <c r="C89">
        <f t="shared" si="0"/>
        <v>1.1715864410256183</v>
      </c>
      <c r="D89">
        <f t="shared" si="1"/>
        <v>0.58579322051280913</v>
      </c>
      <c r="E89">
        <f t="shared" si="2"/>
        <v>1.0780491341718279</v>
      </c>
      <c r="F89">
        <f t="shared" si="3"/>
        <v>6.9551417940229645E-4</v>
      </c>
      <c r="K89">
        <f t="shared" si="7"/>
        <v>2159349.8492825795</v>
      </c>
      <c r="L89">
        <f t="shared" si="8"/>
        <v>2159.3498492825793</v>
      </c>
      <c r="M89">
        <f t="shared" si="5"/>
        <v>2.0087215806129932</v>
      </c>
    </row>
    <row r="90" spans="1:13" x14ac:dyDescent="0.3">
      <c r="A90">
        <f t="shared" si="6"/>
        <v>2.8000000000000003</v>
      </c>
      <c r="B90">
        <v>28</v>
      </c>
      <c r="C90">
        <f t="shared" si="0"/>
        <v>1.0853489018043452</v>
      </c>
      <c r="D90">
        <f t="shared" si="1"/>
        <v>0.54267445090217259</v>
      </c>
      <c r="E90">
        <f t="shared" si="2"/>
        <v>0.9251850867488739</v>
      </c>
      <c r="F90">
        <f t="shared" si="3"/>
        <v>5.9689241056690352E-4</v>
      </c>
      <c r="K90">
        <f t="shared" si="7"/>
        <v>2102541.0371792288</v>
      </c>
      <c r="L90">
        <f t="shared" si="8"/>
        <v>2102.5410371792286</v>
      </c>
      <c r="M90">
        <f t="shared" si="5"/>
        <v>1.7238910462475772</v>
      </c>
    </row>
    <row r="91" spans="1:13" x14ac:dyDescent="0.3">
      <c r="A91">
        <f t="shared" si="6"/>
        <v>2.9000000000000004</v>
      </c>
      <c r="B91">
        <v>29</v>
      </c>
      <c r="C91">
        <f t="shared" si="0"/>
        <v>0.99911136258307165</v>
      </c>
      <c r="D91">
        <f t="shared" si="1"/>
        <v>0.49955568129153582</v>
      </c>
      <c r="E91">
        <f t="shared" si="2"/>
        <v>0.78400291521752508</v>
      </c>
      <c r="F91">
        <f t="shared" si="3"/>
        <v>5.0580732078173846E-4</v>
      </c>
      <c r="K91">
        <f t="shared" si="7"/>
        <v>2002198.5921450951</v>
      </c>
      <c r="L91">
        <f t="shared" si="8"/>
        <v>2002.1985921450951</v>
      </c>
      <c r="M91">
        <f t="shared" si="5"/>
        <v>1.4608272713569384</v>
      </c>
    </row>
    <row r="92" spans="1:13" x14ac:dyDescent="0.3">
      <c r="A92">
        <f t="shared" si="6"/>
        <v>3</v>
      </c>
      <c r="B92">
        <v>30</v>
      </c>
      <c r="C92">
        <f t="shared" si="0"/>
        <v>0.91287382336179812</v>
      </c>
      <c r="D92">
        <f t="shared" si="1"/>
        <v>0.45643691168089906</v>
      </c>
      <c r="E92">
        <f t="shared" si="2"/>
        <v>0.65450261957778266</v>
      </c>
      <c r="F92">
        <f t="shared" si="3"/>
        <v>4.2225891004680225E-4</v>
      </c>
      <c r="K92">
        <f t="shared" si="7"/>
        <v>1844886.2900499708</v>
      </c>
      <c r="L92">
        <f t="shared" si="8"/>
        <v>1844.8862900499707</v>
      </c>
      <c r="M92">
        <f t="shared" si="5"/>
        <v>1.2195302559410792</v>
      </c>
    </row>
    <row r="93" spans="1:13" x14ac:dyDescent="0.3">
      <c r="A93">
        <f>B93*$B$60</f>
        <v>3.1</v>
      </c>
      <c r="B93">
        <v>31</v>
      </c>
      <c r="C93">
        <f>B41</f>
        <v>0.82663628414052504</v>
      </c>
      <c r="D93">
        <f t="shared" si="1"/>
        <v>0.41331814207026252</v>
      </c>
      <c r="E93">
        <f t="shared" si="2"/>
        <v>0.53668419982964699</v>
      </c>
      <c r="F93">
        <f>E93*0.00064516</f>
        <v>3.4624717836209505E-4</v>
      </c>
      <c r="K93" s="24">
        <f>D51</f>
        <v>1237266.9629106265</v>
      </c>
      <c r="L93" s="22">
        <f t="shared" si="4"/>
        <v>1237.2669629106265</v>
      </c>
      <c r="M93">
        <f>E93/$E$93</f>
        <v>1</v>
      </c>
    </row>
    <row r="94" spans="1:13" x14ac:dyDescent="0.3">
      <c r="A94" s="9" t="s">
        <v>358</v>
      </c>
    </row>
    <row r="95" spans="1:13" x14ac:dyDescent="0.3">
      <c r="A95" s="1" t="s">
        <v>370</v>
      </c>
    </row>
    <row r="96" spans="1:13" x14ac:dyDescent="0.3">
      <c r="A96">
        <v>3.2</v>
      </c>
      <c r="B96">
        <v>32</v>
      </c>
      <c r="C96">
        <f>C93+((($C$111-$C$93)/($B$110-$B$92)))</f>
        <v>0.87081455474312175</v>
      </c>
      <c r="D96">
        <f t="shared" si="1"/>
        <v>0.43540727737156087</v>
      </c>
      <c r="E96">
        <f t="shared" si="2"/>
        <v>0.59558155563742998</v>
      </c>
      <c r="F96">
        <f t="shared" ref="F96:F111" si="9">E96*0.00064516</f>
        <v>3.8424539643504432E-4</v>
      </c>
      <c r="K96">
        <f>L96*1000</f>
        <v>759278.7266325322</v>
      </c>
      <c r="L96">
        <f>(-202415*(C96^3))+(568354*(C96^2))-(534463*C96)+168850</f>
        <v>759.2787266325322</v>
      </c>
      <c r="M96">
        <f>E96/$E$93</f>
        <v>1.1097430403698825</v>
      </c>
    </row>
    <row r="97" spans="1:13" x14ac:dyDescent="0.3">
      <c r="A97">
        <v>3.3</v>
      </c>
      <c r="B97">
        <v>33</v>
      </c>
      <c r="C97">
        <f>C96+((($C$111-$C$93)/($B$110-$B$92)))</f>
        <v>0.91499282534571846</v>
      </c>
      <c r="D97">
        <f t="shared" si="1"/>
        <v>0.45749641267285923</v>
      </c>
      <c r="E97">
        <f t="shared" si="2"/>
        <v>0.6575446654135163</v>
      </c>
      <c r="F97">
        <f t="shared" si="9"/>
        <v>4.2422151633818419E-4</v>
      </c>
      <c r="K97">
        <f>L97*1000</f>
        <v>594340.55347449612</v>
      </c>
      <c r="L97">
        <f>(-202415*(C97^3))+(568354*(C97^2))-(534463*C97)+168850</f>
        <v>594.34055347449612</v>
      </c>
      <c r="M97">
        <f t="shared" ref="M97:M111" si="10">E97/$E$93</f>
        <v>1.2251984791470152</v>
      </c>
    </row>
    <row r="98" spans="1:13" x14ac:dyDescent="0.3">
      <c r="A98">
        <v>3.4</v>
      </c>
      <c r="B98">
        <v>34</v>
      </c>
      <c r="C98">
        <f t="shared" ref="C98:C110" si="11">C97+((($C$111-$C$93)/($B$110-$B$92)))</f>
        <v>0.95917109594831518</v>
      </c>
      <c r="D98">
        <f t="shared" si="1"/>
        <v>0.47958554797415759</v>
      </c>
      <c r="E98">
        <f t="shared" si="2"/>
        <v>0.72257352915790596</v>
      </c>
      <c r="F98">
        <f t="shared" si="9"/>
        <v>4.6617553807151458E-4</v>
      </c>
      <c r="K98">
        <f>L98*1000</f>
        <v>479089.96726566693</v>
      </c>
      <c r="L98">
        <f>(-202415*(C98^3))+(568354*(C98^2))-(534463*C98)+168850</f>
        <v>479.08996726566693</v>
      </c>
      <c r="M98">
        <f t="shared" si="10"/>
        <v>1.3463663163313984</v>
      </c>
    </row>
    <row r="99" spans="1:13" x14ac:dyDescent="0.3">
      <c r="A99">
        <v>3.5</v>
      </c>
      <c r="B99">
        <v>35</v>
      </c>
      <c r="C99">
        <f t="shared" si="11"/>
        <v>1.0033493665509119</v>
      </c>
      <c r="D99">
        <f t="shared" si="1"/>
        <v>0.50167468327545595</v>
      </c>
      <c r="E99">
        <f t="shared" si="2"/>
        <v>0.79066814687059894</v>
      </c>
      <c r="F99">
        <f t="shared" si="9"/>
        <v>5.1010746163503563E-4</v>
      </c>
      <c r="K99" s="29">
        <f>L99*1000</f>
        <v>400254.52469562466</v>
      </c>
      <c r="L99">
        <f>404.77*(C99^(-3.355))</f>
        <v>400.25452469562464</v>
      </c>
      <c r="M99">
        <f t="shared" si="10"/>
        <v>1.473246551923032</v>
      </c>
    </row>
    <row r="100" spans="1:13" x14ac:dyDescent="0.3">
      <c r="A100">
        <v>3.6</v>
      </c>
      <c r="B100">
        <v>36</v>
      </c>
      <c r="C100">
        <f t="shared" si="11"/>
        <v>1.0475276371535087</v>
      </c>
      <c r="D100">
        <f t="shared" si="1"/>
        <v>0.52376381857675436</v>
      </c>
      <c r="E100">
        <f t="shared" si="2"/>
        <v>0.86182851855159526</v>
      </c>
      <c r="F100">
        <f t="shared" si="9"/>
        <v>5.5601728702874714E-4</v>
      </c>
      <c r="K100" s="29">
        <f t="shared" ref="K100:K111" si="12">L100*1000</f>
        <v>346380.23158535449</v>
      </c>
      <c r="L100">
        <f t="shared" ref="L100:L111" si="13">404.77*(C100^(-3.355))</f>
        <v>346.38023158535447</v>
      </c>
      <c r="M100">
        <f t="shared" si="10"/>
        <v>1.6058391859219161</v>
      </c>
    </row>
    <row r="101" spans="1:13" x14ac:dyDescent="0.3">
      <c r="A101">
        <v>3.7</v>
      </c>
      <c r="B101">
        <v>37</v>
      </c>
      <c r="C101">
        <f t="shared" si="11"/>
        <v>1.0917059077561055</v>
      </c>
      <c r="D101">
        <f t="shared" si="1"/>
        <v>0.54585295387805277</v>
      </c>
      <c r="E101">
        <f t="shared" si="2"/>
        <v>0.93605464420089501</v>
      </c>
      <c r="F101">
        <f t="shared" si="9"/>
        <v>6.0390501425264937E-4</v>
      </c>
      <c r="K101" s="29">
        <f t="shared" si="12"/>
        <v>301553.11972221656</v>
      </c>
      <c r="L101">
        <f t="shared" si="13"/>
        <v>301.55311972221654</v>
      </c>
      <c r="M101">
        <f t="shared" si="10"/>
        <v>1.7441442183280507</v>
      </c>
    </row>
    <row r="102" spans="1:13" x14ac:dyDescent="0.3">
      <c r="A102">
        <v>3.8</v>
      </c>
      <c r="B102">
        <v>38</v>
      </c>
      <c r="C102">
        <f t="shared" si="11"/>
        <v>1.1358841783587024</v>
      </c>
      <c r="D102">
        <f t="shared" si="1"/>
        <v>0.56794208917935118</v>
      </c>
      <c r="E102">
        <f t="shared" si="2"/>
        <v>1.0133465238184982</v>
      </c>
      <c r="F102">
        <f t="shared" si="9"/>
        <v>6.5377064330674232E-4</v>
      </c>
      <c r="K102" s="29">
        <f t="shared" si="12"/>
        <v>263974.86589321156</v>
      </c>
      <c r="L102">
        <f t="shared" si="13"/>
        <v>263.97486589321159</v>
      </c>
      <c r="M102">
        <f t="shared" si="10"/>
        <v>1.8881616491414359</v>
      </c>
    </row>
    <row r="103" spans="1:13" x14ac:dyDescent="0.3">
      <c r="A103">
        <v>3.9</v>
      </c>
      <c r="B103">
        <v>39</v>
      </c>
      <c r="C103">
        <f t="shared" si="11"/>
        <v>1.1800624489612992</v>
      </c>
      <c r="D103">
        <f t="shared" si="1"/>
        <v>0.5900312244806496</v>
      </c>
      <c r="E103">
        <f t="shared" si="2"/>
        <v>1.0937041574044046</v>
      </c>
      <c r="F103">
        <f t="shared" si="9"/>
        <v>7.0561417419102567E-4</v>
      </c>
      <c r="K103" s="29">
        <f t="shared" si="12"/>
        <v>232256.06977283262</v>
      </c>
      <c r="L103">
        <f t="shared" si="13"/>
        <v>232.25606977283263</v>
      </c>
      <c r="M103">
        <f t="shared" si="10"/>
        <v>2.0378914783620714</v>
      </c>
    </row>
    <row r="104" spans="1:13" x14ac:dyDescent="0.3">
      <c r="A104">
        <v>4</v>
      </c>
      <c r="B104">
        <v>40</v>
      </c>
      <c r="C104">
        <f t="shared" si="11"/>
        <v>1.224240719563896</v>
      </c>
      <c r="D104">
        <f t="shared" si="1"/>
        <v>0.61212035978194801</v>
      </c>
      <c r="E104">
        <f t="shared" si="2"/>
        <v>1.1771275449586143</v>
      </c>
      <c r="F104">
        <f t="shared" si="9"/>
        <v>7.5943560690549953E-4</v>
      </c>
      <c r="K104" s="29">
        <f t="shared" si="12"/>
        <v>205312.37838432408</v>
      </c>
      <c r="L104">
        <f t="shared" si="13"/>
        <v>205.31237838432409</v>
      </c>
      <c r="M104">
        <f t="shared" si="10"/>
        <v>2.1933337059899571</v>
      </c>
    </row>
    <row r="105" spans="1:13" x14ac:dyDescent="0.3">
      <c r="A105">
        <v>4.0999999999999996</v>
      </c>
      <c r="B105">
        <v>41</v>
      </c>
      <c r="C105">
        <f t="shared" si="11"/>
        <v>1.2684189901664928</v>
      </c>
      <c r="D105">
        <f t="shared" si="1"/>
        <v>0.63420949508324642</v>
      </c>
      <c r="E105">
        <f t="shared" si="2"/>
        <v>1.2636166864811273</v>
      </c>
      <c r="F105">
        <f t="shared" si="9"/>
        <v>8.1523494145016411E-4</v>
      </c>
      <c r="K105" s="29">
        <f t="shared" si="12"/>
        <v>182289.57791069493</v>
      </c>
      <c r="L105">
        <f t="shared" si="13"/>
        <v>182.28957791069493</v>
      </c>
      <c r="M105">
        <f t="shared" si="10"/>
        <v>2.3544883320250931</v>
      </c>
    </row>
    <row r="106" spans="1:13" s="21" customFormat="1" x14ac:dyDescent="0.3">
      <c r="A106" s="21">
        <v>4.2</v>
      </c>
      <c r="B106" s="21">
        <v>42</v>
      </c>
      <c r="C106" s="21">
        <f t="shared" si="11"/>
        <v>1.3125972607690897</v>
      </c>
      <c r="D106" s="21">
        <f t="shared" si="1"/>
        <v>0.65629863038454483</v>
      </c>
      <c r="E106" s="21">
        <f t="shared" si="2"/>
        <v>1.3531715819719436</v>
      </c>
      <c r="F106" s="21">
        <f t="shared" si="9"/>
        <v>8.7301217782501919E-4</v>
      </c>
      <c r="K106" s="29">
        <f t="shared" si="12"/>
        <v>162508.90191210707</v>
      </c>
      <c r="L106">
        <f t="shared" si="13"/>
        <v>162.50890191210706</v>
      </c>
      <c r="M106" s="21">
        <f t="shared" si="10"/>
        <v>2.5213553564674798</v>
      </c>
    </row>
    <row r="107" spans="1:13" x14ac:dyDescent="0.3">
      <c r="A107">
        <v>4.3</v>
      </c>
      <c r="B107">
        <v>43</v>
      </c>
      <c r="C107">
        <f t="shared" si="11"/>
        <v>1.3567755313716865</v>
      </c>
      <c r="D107">
        <f t="shared" si="1"/>
        <v>0.67838776568584325</v>
      </c>
      <c r="E107">
        <f t="shared" si="2"/>
        <v>1.4457922314310634</v>
      </c>
      <c r="F107">
        <f t="shared" si="9"/>
        <v>9.3276731603006478E-4</v>
      </c>
      <c r="K107" s="29">
        <f t="shared" si="12"/>
        <v>145426.6391522433</v>
      </c>
      <c r="L107">
        <f t="shared" si="13"/>
        <v>145.4266391522433</v>
      </c>
      <c r="M107">
        <f t="shared" si="10"/>
        <v>2.6939347793171167</v>
      </c>
    </row>
    <row r="108" spans="1:13" x14ac:dyDescent="0.3">
      <c r="A108">
        <v>4.4000000000000004</v>
      </c>
      <c r="B108">
        <v>44</v>
      </c>
      <c r="C108">
        <f t="shared" si="11"/>
        <v>1.4009538019742833</v>
      </c>
      <c r="D108">
        <f t="shared" si="1"/>
        <v>0.70047690098714166</v>
      </c>
      <c r="E108">
        <f t="shared" si="2"/>
        <v>1.5414786348584866</v>
      </c>
      <c r="F108">
        <f t="shared" si="9"/>
        <v>9.945003560653011E-4</v>
      </c>
      <c r="K108" s="29">
        <f t="shared" si="12"/>
        <v>130603.98255199319</v>
      </c>
      <c r="L108">
        <f t="shared" si="13"/>
        <v>130.6039825519932</v>
      </c>
      <c r="M108">
        <f t="shared" si="10"/>
        <v>2.8722266005740043</v>
      </c>
    </row>
    <row r="109" spans="1:13" x14ac:dyDescent="0.3">
      <c r="A109">
        <v>4.5</v>
      </c>
      <c r="B109">
        <v>45</v>
      </c>
      <c r="C109">
        <f t="shared" si="11"/>
        <v>1.4451320725768801</v>
      </c>
      <c r="D109">
        <f t="shared" si="1"/>
        <v>0.72256603628844007</v>
      </c>
      <c r="E109">
        <f t="shared" si="2"/>
        <v>1.640230792254213</v>
      </c>
      <c r="F109">
        <f t="shared" si="9"/>
        <v>1.0582112979307279E-3</v>
      </c>
      <c r="K109" s="29">
        <f t="shared" si="12"/>
        <v>117684.29803551703</v>
      </c>
      <c r="L109" s="30">
        <f t="shared" si="13"/>
        <v>117.68429803551703</v>
      </c>
      <c r="M109">
        <f t="shared" si="10"/>
        <v>3.0562308202381421</v>
      </c>
    </row>
    <row r="110" spans="1:13" x14ac:dyDescent="0.3">
      <c r="A110">
        <v>4.5999999999999996</v>
      </c>
      <c r="B110">
        <v>46</v>
      </c>
      <c r="C110">
        <f t="shared" si="11"/>
        <v>1.489310343179477</v>
      </c>
      <c r="D110">
        <f t="shared" si="1"/>
        <v>0.74465517158973848</v>
      </c>
      <c r="E110">
        <f t="shared" si="2"/>
        <v>1.7420487036182426</v>
      </c>
      <c r="F110">
        <f t="shared" si="9"/>
        <v>1.1239001416263454E-3</v>
      </c>
      <c r="K110" s="29">
        <f t="shared" si="12"/>
        <v>106375.82756728474</v>
      </c>
      <c r="L110" s="30">
        <f t="shared" si="13"/>
        <v>106.37582756728473</v>
      </c>
      <c r="M110">
        <f t="shared" si="10"/>
        <v>3.2459474383095301</v>
      </c>
    </row>
    <row r="111" spans="1:13" x14ac:dyDescent="0.3">
      <c r="A111">
        <v>4.6999999999999904</v>
      </c>
      <c r="B111" t="s">
        <v>371</v>
      </c>
      <c r="C111">
        <f>B55</f>
        <v>1.5334886137820731</v>
      </c>
      <c r="D111">
        <f>C111/2</f>
        <v>0.76674430689103656</v>
      </c>
      <c r="E111">
        <f>PI()*D111^2</f>
        <v>1.8469323689505737</v>
      </c>
      <c r="F111">
        <f t="shared" si="9"/>
        <v>1.1915668871521521E-3</v>
      </c>
      <c r="K111" s="29">
        <f t="shared" si="12"/>
        <v>96438.41244932753</v>
      </c>
      <c r="L111" s="30">
        <f t="shared" si="13"/>
        <v>96.438412449327529</v>
      </c>
      <c r="M111">
        <f t="shared" si="10"/>
        <v>3.4413764547881649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workbookViewId="0">
      <selection activeCell="B43" sqref="B43"/>
    </sheetView>
  </sheetViews>
  <sheetFormatPr defaultRowHeight="14.4" x14ac:dyDescent="0.3"/>
  <cols>
    <col min="1" max="1" width="28" bestFit="1" customWidth="1"/>
    <col min="2" max="2" width="14.33203125" bestFit="1" customWidth="1"/>
    <col min="4" max="5" width="18.109375" bestFit="1" customWidth="1"/>
    <col min="6" max="6" width="24" bestFit="1" customWidth="1"/>
    <col min="7" max="7" width="17.33203125" customWidth="1"/>
    <col min="8" max="8" width="17.5546875" bestFit="1" customWidth="1"/>
    <col min="9" max="9" width="17.6640625" customWidth="1"/>
  </cols>
  <sheetData>
    <row r="1" spans="1:11" x14ac:dyDescent="0.3">
      <c r="A1" s="1" t="s">
        <v>36</v>
      </c>
      <c r="B1">
        <v>8</v>
      </c>
      <c r="C1" t="s">
        <v>26</v>
      </c>
    </row>
    <row r="2" spans="1:11" x14ac:dyDescent="0.3">
      <c r="A2" s="1" t="s">
        <v>34</v>
      </c>
      <c r="B2">
        <v>1.25</v>
      </c>
      <c r="C2" t="s">
        <v>35</v>
      </c>
    </row>
    <row r="3" spans="1:11" x14ac:dyDescent="0.3">
      <c r="A3" s="1" t="s">
        <v>32</v>
      </c>
      <c r="B3">
        <f>B1*'Engine Requirements'!B22</f>
        <v>2.4250794878432957</v>
      </c>
      <c r="C3" t="s">
        <v>29</v>
      </c>
    </row>
    <row r="4" spans="1:11" x14ac:dyDescent="0.3">
      <c r="A4" s="1" t="s">
        <v>33</v>
      </c>
      <c r="B4">
        <f>B1*'Engine Requirements'!B23</f>
        <v>1.9246662601930917</v>
      </c>
      <c r="C4" t="s">
        <v>29</v>
      </c>
    </row>
    <row r="5" spans="1:11" x14ac:dyDescent="0.3">
      <c r="A5" s="1"/>
    </row>
    <row r="6" spans="1:11" x14ac:dyDescent="0.3">
      <c r="A6" s="1"/>
      <c r="B6" t="s">
        <v>412</v>
      </c>
      <c r="C6">
        <v>1000</v>
      </c>
      <c r="D6" t="s">
        <v>141</v>
      </c>
      <c r="E6">
        <f>C6*6894.76</f>
        <v>6894760</v>
      </c>
      <c r="F6" t="s">
        <v>148</v>
      </c>
    </row>
    <row r="7" spans="1:11" x14ac:dyDescent="0.3">
      <c r="C7">
        <v>2.5</v>
      </c>
      <c r="D7" t="s">
        <v>152</v>
      </c>
      <c r="E7">
        <f>'Engine Requirements'!D2*'Test and practical stuff'!C7</f>
        <v>5722650.8000000007</v>
      </c>
      <c r="F7" t="s">
        <v>148</v>
      </c>
    </row>
    <row r="8" spans="1:11" x14ac:dyDescent="0.3">
      <c r="A8" s="1" t="s">
        <v>404</v>
      </c>
      <c r="B8" s="1" t="s">
        <v>406</v>
      </c>
      <c r="C8" s="1" t="s">
        <v>405</v>
      </c>
      <c r="D8" s="1" t="s">
        <v>409</v>
      </c>
      <c r="E8" s="1" t="s">
        <v>365</v>
      </c>
      <c r="F8" s="1" t="s">
        <v>411</v>
      </c>
      <c r="G8" s="1" t="s">
        <v>407</v>
      </c>
      <c r="H8" s="1" t="s">
        <v>408</v>
      </c>
      <c r="I8" s="1" t="s">
        <v>413</v>
      </c>
      <c r="J8" s="1"/>
      <c r="K8" s="1" t="s">
        <v>42</v>
      </c>
    </row>
    <row r="9" spans="1:11" x14ac:dyDescent="0.3">
      <c r="A9" s="31">
        <v>0.25</v>
      </c>
      <c r="B9">
        <v>3.5000000000000003E-2</v>
      </c>
      <c r="C9">
        <f>A9-(2*B9)</f>
        <v>0.18</v>
      </c>
      <c r="D9">
        <f>PI()*(C9/2)^2</f>
        <v>2.5446900494077322E-2</v>
      </c>
      <c r="E9">
        <f>D9/1550</f>
        <v>1.6417355157469239E-5</v>
      </c>
      <c r="F9" s="34">
        <f>'Engine Requirements'!$B$27/'Test and practical stuff'!E9</f>
        <v>33.384145099891732</v>
      </c>
      <c r="G9" s="23">
        <f>'Engine Requirements'!$B$25/'Test and practical stuff'!E9</f>
        <v>16.182557298005456</v>
      </c>
      <c r="H9">
        <f>'Engine Requirements'!$B$26/'Test and practical stuff'!E9</f>
        <v>17.20158780188628</v>
      </c>
      <c r="I9">
        <f>((C9*'Test and practical stuff'!$E$7)/(2*'Test and practical stuff'!B9))/1000000</f>
        <v>14.715387771428572</v>
      </c>
    </row>
    <row r="10" spans="1:11" x14ac:dyDescent="0.3">
      <c r="A10" s="31">
        <v>0.25</v>
      </c>
      <c r="B10" s="1">
        <v>4.9000000000000002E-2</v>
      </c>
      <c r="C10">
        <f t="shared" ref="C10:C26" si="0">A10-(2*B10)</f>
        <v>0.152</v>
      </c>
      <c r="D10">
        <f t="shared" ref="D10:D26" si="1">PI()*(C10/2)^2</f>
        <v>1.8145839167134643E-2</v>
      </c>
      <c r="E10">
        <f t="shared" ref="E10:E26" si="2">D10/1550</f>
        <v>1.1706993011054609E-5</v>
      </c>
      <c r="F10" s="34">
        <f>'Engine Requirements'!$B$27/'Test and practical stuff'!E10</f>
        <v>46.81640846764595</v>
      </c>
      <c r="G10" s="23">
        <f>'Engine Requirements'!$B$25/'Test and practical stuff'!E10</f>
        <v>22.693683191455015</v>
      </c>
      <c r="H10">
        <f>'Engine Requirements'!$B$26/'Test and practical stuff'!E10</f>
        <v>24.122725276190941</v>
      </c>
      <c r="I10">
        <f>((C10*'Test and practical stuff'!$E$7)/(2*'Test and practical stuff'!B10))/1000000</f>
        <v>8.8759481795918376</v>
      </c>
    </row>
    <row r="11" spans="1:11" x14ac:dyDescent="0.3">
      <c r="A11" s="31">
        <v>0.25</v>
      </c>
      <c r="B11">
        <v>6.5000000000000002E-2</v>
      </c>
      <c r="C11">
        <f t="shared" si="0"/>
        <v>0.12</v>
      </c>
      <c r="D11">
        <f t="shared" si="1"/>
        <v>1.1309733552923255E-2</v>
      </c>
      <c r="E11">
        <f t="shared" si="2"/>
        <v>7.2966022922085514E-6</v>
      </c>
      <c r="F11" s="34">
        <f>'Engine Requirements'!$B$27/'Test and practical stuff'!E11</f>
        <v>75.114326474756396</v>
      </c>
      <c r="G11" s="23">
        <f>'Engine Requirements'!$B$25/'Test and practical stuff'!E11</f>
        <v>36.410753920512271</v>
      </c>
      <c r="H11">
        <f>'Engine Requirements'!$B$26/'Test and practical stuff'!E11</f>
        <v>38.703572554244133</v>
      </c>
      <c r="I11">
        <f>((C11*'Test and practical stuff'!$E$7)/(2*'Test and practical stuff'!B11))/1000000</f>
        <v>5.2824468923076919</v>
      </c>
    </row>
    <row r="12" spans="1:11" x14ac:dyDescent="0.3">
      <c r="A12" s="33">
        <v>0.3125</v>
      </c>
      <c r="B12">
        <v>4.9000000000000002E-2</v>
      </c>
      <c r="C12">
        <f t="shared" si="0"/>
        <v>0.2145</v>
      </c>
      <c r="D12">
        <f t="shared" si="1"/>
        <v>3.6136365847457441E-2</v>
      </c>
      <c r="E12">
        <f t="shared" si="2"/>
        <v>2.3313784417714477E-5</v>
      </c>
      <c r="F12" s="34">
        <f>'Engine Requirements'!$B$27/'Test and practical stuff'!E12</f>
        <v>23.508811650371214</v>
      </c>
      <c r="G12" s="23">
        <f>'Engine Requirements'!$B$25/'Test and practical stuff'!E12</f>
        <v>11.395609814234366</v>
      </c>
      <c r="H12">
        <f>'Engine Requirements'!$B$26/'Test and practical stuff'!E12</f>
        <v>12.113201836136851</v>
      </c>
      <c r="I12">
        <f>((C12*'Test and practical stuff'!$E$7)/(2*'Test and practical stuff'!B12))/1000000</f>
        <v>12.525597924489796</v>
      </c>
    </row>
    <row r="13" spans="1:11" x14ac:dyDescent="0.3">
      <c r="A13" s="33">
        <v>0.3125</v>
      </c>
      <c r="B13">
        <v>6.5000000000000002E-2</v>
      </c>
      <c r="C13">
        <f t="shared" si="0"/>
        <v>0.1825</v>
      </c>
      <c r="D13">
        <f t="shared" si="1"/>
        <v>2.6158667579656257E-2</v>
      </c>
      <c r="E13">
        <f t="shared" si="2"/>
        <v>1.6876559728810487E-5</v>
      </c>
      <c r="F13" s="34">
        <f>'Engine Requirements'!$B$27/'Test and practical stuff'!E13</f>
        <v>32.475775604773645</v>
      </c>
      <c r="G13" s="23">
        <f>'Engine Requirements'!$B$25/'Test and practical stuff'!E13</f>
        <v>15.742236260623061</v>
      </c>
      <c r="H13">
        <f>'Engine Requirements'!$B$26/'Test and practical stuff'!E13</f>
        <v>16.733539344150589</v>
      </c>
      <c r="I13">
        <f>((C13*'Test and practical stuff'!$E$7)/(2*'Test and practical stuff'!B13))/1000000</f>
        <v>8.0337213153846161</v>
      </c>
    </row>
    <row r="14" spans="1:11" x14ac:dyDescent="0.3">
      <c r="A14" s="32">
        <v>0.375</v>
      </c>
      <c r="B14">
        <v>3.5000000000000003E-2</v>
      </c>
      <c r="C14">
        <f t="shared" si="0"/>
        <v>0.30499999999999999</v>
      </c>
      <c r="D14">
        <f t="shared" si="1"/>
        <v>7.3061664150047625E-2</v>
      </c>
      <c r="E14">
        <f t="shared" si="2"/>
        <v>4.7136557516159761E-5</v>
      </c>
      <c r="F14" s="34">
        <f>'Engine Requirements'!$B$27/'Test and practical stuff'!E14</f>
        <v>11.627479723047481</v>
      </c>
      <c r="G14" s="23">
        <f>'Engine Requirements'!$B$25/'Test and practical stuff'!E14</f>
        <v>5.6362790266635487</v>
      </c>
      <c r="H14">
        <f>'Engine Requirements'!$B$26/'Test and practical stuff'!E14</f>
        <v>5.9912006963839337</v>
      </c>
      <c r="I14">
        <f>((C14*'Test and practical stuff'!$E$7)/(2*'Test and practical stuff'!B14))/1000000</f>
        <v>24.934407057142856</v>
      </c>
    </row>
    <row r="15" spans="1:11" x14ac:dyDescent="0.3">
      <c r="A15" s="32">
        <v>0.375</v>
      </c>
      <c r="B15">
        <v>4.9000000000000002E-2</v>
      </c>
      <c r="C15">
        <f t="shared" si="0"/>
        <v>0.27700000000000002</v>
      </c>
      <c r="D15">
        <f t="shared" si="1"/>
        <v>6.0262815679322825E-2</v>
      </c>
      <c r="E15">
        <f t="shared" si="2"/>
        <v>3.8879235922143758E-5</v>
      </c>
      <c r="F15" s="34">
        <f>'Engine Requirements'!$B$27/'Test and practical stuff'!E15</f>
        <v>14.096968567770878</v>
      </c>
      <c r="G15" s="23">
        <f>'Engine Requirements'!$B$25/'Test and practical stuff'!E15</f>
        <v>6.8333336346801934</v>
      </c>
      <c r="H15">
        <f>'Engine Requirements'!$B$26/'Test and practical stuff'!E15</f>
        <v>7.2636349330906871</v>
      </c>
      <c r="I15">
        <f>((C15*'Test and practical stuff'!$E$7)/(2*'Test and practical stuff'!B15))/1000000</f>
        <v>16.175247669387758</v>
      </c>
    </row>
    <row r="16" spans="1:11" x14ac:dyDescent="0.3">
      <c r="A16" s="32">
        <v>0.375</v>
      </c>
      <c r="B16">
        <v>5.8000000000000003E-2</v>
      </c>
      <c r="C16">
        <f t="shared" si="0"/>
        <v>0.25900000000000001</v>
      </c>
      <c r="D16">
        <f t="shared" si="1"/>
        <v>5.2685294198864231E-2</v>
      </c>
      <c r="E16">
        <f t="shared" si="2"/>
        <v>3.3990512386364022E-5</v>
      </c>
      <c r="F16" s="34">
        <f>'Engine Requirements'!$B$27/'Test and practical stuff'!E16</f>
        <v>16.124480869940697</v>
      </c>
      <c r="G16" s="23">
        <f>'Engine Requirements'!$B$25/'Test and practical stuff'!E16</f>
        <v>7.81614550253241</v>
      </c>
      <c r="H16">
        <f>'Engine Requirements'!$B$26/'Test and practical stuff'!E16</f>
        <v>8.3083353674082883</v>
      </c>
      <c r="I16">
        <f>((C16*'Test and practical stuff'!$E$7)/(2*'Test and practical stuff'!B16))/1000000</f>
        <v>12.777297906896552</v>
      </c>
    </row>
    <row r="17" spans="1:9" x14ac:dyDescent="0.3">
      <c r="A17" s="32">
        <v>0.375</v>
      </c>
      <c r="B17">
        <v>6.5000000000000002E-2</v>
      </c>
      <c r="C17">
        <f t="shared" si="0"/>
        <v>0.245</v>
      </c>
      <c r="D17">
        <f t="shared" si="1"/>
        <v>4.7143524757931828E-2</v>
      </c>
      <c r="E17">
        <f t="shared" si="2"/>
        <v>3.0415177263181824E-5</v>
      </c>
      <c r="F17" s="34">
        <f>'Engine Requirements'!$B$27/'Test and practical stuff'!E17</f>
        <v>18.019930049754137</v>
      </c>
      <c r="G17" s="23">
        <f>'Engine Requirements'!$B$25/'Test and practical stuff'!E17</f>
        <v>8.7349413820137727</v>
      </c>
      <c r="H17">
        <f>'Engine Requirements'!$B$26/'Test and practical stuff'!E17</f>
        <v>9.2849886677403664</v>
      </c>
      <c r="I17">
        <f>((C17*'Test and practical stuff'!$E$7)/(2*'Test and practical stuff'!B17))/1000000</f>
        <v>10.784995738461539</v>
      </c>
    </row>
    <row r="18" spans="1:9" x14ac:dyDescent="0.3">
      <c r="A18" s="33">
        <v>0.4375</v>
      </c>
      <c r="B18">
        <v>3.5000000000000003E-2</v>
      </c>
      <c r="C18">
        <f t="shared" si="0"/>
        <v>0.36749999999999999</v>
      </c>
      <c r="D18">
        <f t="shared" si="1"/>
        <v>0.10607293070534661</v>
      </c>
      <c r="E18">
        <f t="shared" si="2"/>
        <v>6.84341488421591E-5</v>
      </c>
      <c r="F18" s="34">
        <f>'Engine Requirements'!$B$27/'Test and practical stuff'!E18</f>
        <v>8.0088577998907287</v>
      </c>
      <c r="G18" s="23">
        <f>'Engine Requirements'!$B$25/'Test and practical stuff'!E18</f>
        <v>3.8821961697838994</v>
      </c>
      <c r="H18">
        <f>'Engine Requirements'!$B$26/'Test and practical stuff'!E18</f>
        <v>4.1266616301068302</v>
      </c>
      <c r="I18">
        <f>((C18*'Test and practical stuff'!$E$7)/(2*'Test and practical stuff'!B18))/1000000</f>
        <v>30.0439167</v>
      </c>
    </row>
    <row r="19" spans="1:9" x14ac:dyDescent="0.3">
      <c r="A19" s="33">
        <v>0.4375</v>
      </c>
      <c r="B19">
        <v>6.5000000000000002E-2</v>
      </c>
      <c r="C19">
        <f t="shared" si="0"/>
        <v>0.3075</v>
      </c>
      <c r="D19">
        <f t="shared" si="1"/>
        <v>7.4264305087749963E-2</v>
      </c>
      <c r="E19">
        <f t="shared" si="2"/>
        <v>4.791245489532256E-5</v>
      </c>
      <c r="F19" s="34">
        <f>'Engine Requirements'!$B$27/'Test and practical stuff'!E19</f>
        <v>11.439183567839164</v>
      </c>
      <c r="G19" s="23">
        <f>'Engine Requirements'!$B$25/'Test and practical stuff'!E19</f>
        <v>5.5450047612439866</v>
      </c>
      <c r="H19">
        <f>'Engine Requirements'!$B$26/'Test and practical stuff'!E19</f>
        <v>5.8941788065951792</v>
      </c>
      <c r="I19">
        <f>((C19*'Test and practical stuff'!$E$7)/(2*'Test and practical stuff'!B19))/1000000</f>
        <v>13.536270161538463</v>
      </c>
    </row>
    <row r="20" spans="1:9" x14ac:dyDescent="0.3">
      <c r="A20" s="31">
        <v>0.5</v>
      </c>
      <c r="B20">
        <v>2.8000000000000001E-2</v>
      </c>
      <c r="C20">
        <f t="shared" si="0"/>
        <v>0.44400000000000001</v>
      </c>
      <c r="D20">
        <f t="shared" si="1"/>
        <v>0.15483025233951936</v>
      </c>
      <c r="E20">
        <f t="shared" si="2"/>
        <v>9.9890485380335067E-5</v>
      </c>
      <c r="F20" s="34">
        <f>'Engine Requirements'!$B$27/'Test and practical stuff'!E20</f>
        <v>5.4868025182437101</v>
      </c>
      <c r="G20" s="23">
        <f>'Engine Requirements'!$B$25/'Test and practical stuff'!E20</f>
        <v>2.6596606223895014</v>
      </c>
      <c r="H20">
        <f>'Engine Requirements'!$B$26/'Test and practical stuff'!E20</f>
        <v>2.8271418958542096</v>
      </c>
      <c r="I20">
        <f>((C20*'Test and practical stuff'!$E$7)/(2*'Test and practical stuff'!B20))/1000000</f>
        <v>45.372445628571427</v>
      </c>
    </row>
    <row r="21" spans="1:9" x14ac:dyDescent="0.3">
      <c r="A21" s="31">
        <v>0.5</v>
      </c>
      <c r="B21">
        <v>3.5000000000000003E-2</v>
      </c>
      <c r="C21">
        <f t="shared" si="0"/>
        <v>0.43</v>
      </c>
      <c r="D21">
        <f t="shared" si="1"/>
        <v>0.14522012041218818</v>
      </c>
      <c r="E21">
        <f t="shared" si="2"/>
        <v>9.3690400265927857E-5</v>
      </c>
      <c r="F21" s="34">
        <f>'Engine Requirements'!$B$27/'Test and practical stuff'!E21</f>
        <v>5.8498988709383024</v>
      </c>
      <c r="G21" s="23">
        <f>'Engine Requirements'!$B$25/'Test and practical stuff'!E21</f>
        <v>2.8356671522735355</v>
      </c>
      <c r="H21">
        <f>'Engine Requirements'!$B$26/'Test and practical stuff'!E21</f>
        <v>3.0142317186647674</v>
      </c>
      <c r="I21">
        <f>((C21*'Test and practical stuff'!$E$7)/(2*'Test and practical stuff'!B21))/1000000</f>
        <v>35.153426342857145</v>
      </c>
    </row>
    <row r="22" spans="1:9" x14ac:dyDescent="0.3">
      <c r="A22" s="31">
        <v>0.5</v>
      </c>
      <c r="B22">
        <v>4.9000000000000002E-2</v>
      </c>
      <c r="C22">
        <f t="shared" si="0"/>
        <v>0.40200000000000002</v>
      </c>
      <c r="D22">
        <f t="shared" si="1"/>
        <v>0.12692348479768126</v>
      </c>
      <c r="E22">
        <f t="shared" si="2"/>
        <v>8.1886119224310486E-5</v>
      </c>
      <c r="F22" s="34">
        <f>'Engine Requirements'!$B$27/'Test and practical stuff'!E22</f>
        <v>6.6931901514596905</v>
      </c>
      <c r="G22" s="23">
        <f>'Engine Requirements'!$B$25/'Test and practical stuff'!E22</f>
        <v>3.2444423186021174</v>
      </c>
      <c r="H22">
        <f>'Engine Requirements'!$B$26/'Test and practical stuff'!E22</f>
        <v>3.4487478328575736</v>
      </c>
      <c r="I22">
        <f>((C22*'Test and practical stuff'!$E$7)/(2*'Test and practical stuff'!B22))/1000000</f>
        <v>23.474547159183683</v>
      </c>
    </row>
    <row r="23" spans="1:9" x14ac:dyDescent="0.3">
      <c r="A23" s="31">
        <v>0.5</v>
      </c>
      <c r="B23">
        <v>5.8000000000000003E-2</v>
      </c>
      <c r="C23">
        <f t="shared" si="0"/>
        <v>0.38400000000000001</v>
      </c>
      <c r="D23">
        <f t="shared" si="1"/>
        <v>0.11581167158193413</v>
      </c>
      <c r="E23">
        <f t="shared" si="2"/>
        <v>7.4717207472215565E-5</v>
      </c>
      <c r="F23" s="34">
        <f>'Engine Requirements'!$B$27/'Test and practical stuff'!E23</f>
        <v>7.3353834448004296</v>
      </c>
      <c r="G23" s="23">
        <f>'Engine Requirements'!$B$25/'Test and practical stuff'!E23</f>
        <v>3.5557376875500264</v>
      </c>
      <c r="H23">
        <f>'Engine Requirements'!$B$26/'Test and practical stuff'!E23</f>
        <v>3.7796457572504032</v>
      </c>
      <c r="I23">
        <f>((C23*'Test and practical stuff'!$E$7)/(2*'Test and practical stuff'!B23))/1000000</f>
        <v>18.943947475862071</v>
      </c>
    </row>
    <row r="24" spans="1:9" x14ac:dyDescent="0.3">
      <c r="A24" s="31">
        <v>0.5</v>
      </c>
      <c r="B24">
        <v>6.5000000000000002E-2</v>
      </c>
      <c r="C24">
        <f t="shared" si="0"/>
        <v>0.37</v>
      </c>
      <c r="D24">
        <f t="shared" si="1"/>
        <v>0.10752100856911066</v>
      </c>
      <c r="E24">
        <f t="shared" si="2"/>
        <v>6.9368392625232691E-5</v>
      </c>
      <c r="F24" s="34">
        <f>'Engine Requirements'!$B$27/'Test and practical stuff'!E24</f>
        <v>7.9009956262709427</v>
      </c>
      <c r="G24" s="23">
        <f>'Engine Requirements'!$B$25/'Test and practical stuff'!E24</f>
        <v>3.8299112962408817</v>
      </c>
      <c r="H24">
        <f>'Engine Requirements'!$B$26/'Test and practical stuff'!E24</f>
        <v>4.0710843300300619</v>
      </c>
      <c r="I24">
        <f>((C24*'Test and practical stuff'!$E$7)/(2*'Test and practical stuff'!B24))/1000000</f>
        <v>16.287544584615386</v>
      </c>
    </row>
    <row r="25" spans="1:9" x14ac:dyDescent="0.3">
      <c r="A25" s="31">
        <v>0.5</v>
      </c>
      <c r="B25">
        <v>8.3000000000000004E-2</v>
      </c>
      <c r="C25">
        <f t="shared" si="0"/>
        <v>0.33399999999999996</v>
      </c>
      <c r="D25">
        <f t="shared" si="1"/>
        <v>8.7615877515965723E-2</v>
      </c>
      <c r="E25">
        <f t="shared" si="2"/>
        <v>5.6526372590945626E-5</v>
      </c>
      <c r="F25" s="34">
        <f>'Engine Requirements'!$B$27/'Test and practical stuff'!E25</f>
        <v>9.6959939513472353</v>
      </c>
      <c r="G25" s="23">
        <f>'Engine Requirements'!$B$25/'Test and practical stuff'!E25</f>
        <v>4.7000148486444191</v>
      </c>
      <c r="H25">
        <f>'Engine Requirements'!$B$26/'Test and practical stuff'!E25</f>
        <v>4.995979102702818</v>
      </c>
      <c r="I25">
        <f>((C25*'Test and practical stuff'!$E$7)/(2*'Test and practical stuff'!B25))/1000000</f>
        <v>11.5142492</v>
      </c>
    </row>
    <row r="26" spans="1:9" x14ac:dyDescent="0.3">
      <c r="A26" s="31">
        <v>0.5</v>
      </c>
      <c r="B26">
        <v>0.12</v>
      </c>
      <c r="C26">
        <f t="shared" si="0"/>
        <v>0.26</v>
      </c>
      <c r="D26">
        <f t="shared" si="1"/>
        <v>5.3092915845667513E-2</v>
      </c>
      <c r="E26">
        <f t="shared" si="2"/>
        <v>3.4253494093979041E-5</v>
      </c>
      <c r="F26" s="34">
        <f>'Engine Requirements'!$B$27/'Test and practical stuff'!E26</f>
        <v>16.000684929533904</v>
      </c>
      <c r="G26" s="23">
        <f>'Engine Requirements'!$B$25/'Test and practical stuff'!E26</f>
        <v>7.7561369298132634</v>
      </c>
      <c r="H26">
        <f>'Engine Requirements'!$B$26/'Test and practical stuff'!E26</f>
        <v>8.2445479997206412</v>
      </c>
      <c r="I26">
        <f>((C26*'Test and practical stuff'!$E$7)/(2*'Test and practical stuff'!B26))/1000000</f>
        <v>6.1995383666666681</v>
      </c>
    </row>
    <row r="27" spans="1:9" x14ac:dyDescent="0.3">
      <c r="A27" s="31"/>
    </row>
    <row r="28" spans="1:9" x14ac:dyDescent="0.3">
      <c r="A28" s="31">
        <v>0.625</v>
      </c>
    </row>
    <row r="29" spans="1:9" x14ac:dyDescent="0.3">
      <c r="A29" s="1"/>
    </row>
    <row r="30" spans="1:9" s="6" customFormat="1" x14ac:dyDescent="0.3">
      <c r="A30" s="8" t="s">
        <v>119</v>
      </c>
    </row>
    <row r="31" spans="1:9" x14ac:dyDescent="0.3">
      <c r="A31" s="1" t="s">
        <v>65</v>
      </c>
      <c r="B31">
        <f>B1*'Engine Requirements'!B25</f>
        <v>2.1253983241396107E-3</v>
      </c>
      <c r="C31" t="s">
        <v>66</v>
      </c>
      <c r="D31">
        <f>B31*1000</f>
        <v>2.1253983241396108</v>
      </c>
      <c r="E31" t="s">
        <v>67</v>
      </c>
    </row>
    <row r="32" spans="1:9" x14ac:dyDescent="0.3">
      <c r="A32" s="1" t="s">
        <v>134</v>
      </c>
      <c r="B32">
        <f>D32*0.0254</f>
        <v>8.8899999999999993E-2</v>
      </c>
      <c r="C32" t="s">
        <v>53</v>
      </c>
      <c r="D32">
        <v>3.5</v>
      </c>
      <c r="E32" t="s">
        <v>115</v>
      </c>
    </row>
    <row r="33" spans="1:9" x14ac:dyDescent="0.3">
      <c r="A33" s="1" t="s">
        <v>118</v>
      </c>
      <c r="B33">
        <f>B31/(PI()*(B32/2)^2)</f>
        <v>0.34241038699571391</v>
      </c>
      <c r="C33" t="s">
        <v>53</v>
      </c>
      <c r="D33">
        <f>B33*39.3701</f>
        <v>13.480731177059956</v>
      </c>
      <c r="E33" t="s">
        <v>115</v>
      </c>
    </row>
    <row r="34" spans="1:9" x14ac:dyDescent="0.3">
      <c r="A34" s="1"/>
    </row>
    <row r="35" spans="1:9" x14ac:dyDescent="0.3">
      <c r="A35" s="1"/>
    </row>
    <row r="36" spans="1:9" s="6" customFormat="1" x14ac:dyDescent="0.3">
      <c r="A36" s="8" t="s">
        <v>117</v>
      </c>
    </row>
    <row r="37" spans="1:9" x14ac:dyDescent="0.3">
      <c r="A37" s="1" t="s">
        <v>64</v>
      </c>
      <c r="B37">
        <f>'Engine Requirements'!B26*'Test and practical stuff'!B1</f>
        <v>2.2592366097276616E-3</v>
      </c>
      <c r="C37" t="s">
        <v>66</v>
      </c>
      <c r="D37">
        <f>B37*1000</f>
        <v>2.2592366097276617</v>
      </c>
      <c r="E37" t="s">
        <v>67</v>
      </c>
    </row>
    <row r="38" spans="1:9" x14ac:dyDescent="0.3">
      <c r="A38" s="1" t="s">
        <v>133</v>
      </c>
      <c r="B38">
        <f>D38*0.0254</f>
        <v>8.8899999999999993E-2</v>
      </c>
      <c r="C38" t="s">
        <v>53</v>
      </c>
      <c r="D38">
        <v>3.5</v>
      </c>
      <c r="E38" t="s">
        <v>115</v>
      </c>
    </row>
    <row r="39" spans="1:9" x14ac:dyDescent="0.3">
      <c r="A39" s="1" t="s">
        <v>116</v>
      </c>
      <c r="B39">
        <f>B37/(PI()*(B38/2)^2)</f>
        <v>0.3639722837199898</v>
      </c>
      <c r="C39" t="s">
        <v>53</v>
      </c>
      <c r="D39">
        <f>B39*39.3701</f>
        <v>14.329625207284371</v>
      </c>
      <c r="E39" t="s">
        <v>115</v>
      </c>
    </row>
    <row r="40" spans="1:9" x14ac:dyDescent="0.3">
      <c r="A40" s="1"/>
    </row>
    <row r="41" spans="1:9" s="6" customFormat="1" x14ac:dyDescent="0.3">
      <c r="A41" s="8" t="s">
        <v>120</v>
      </c>
    </row>
    <row r="42" spans="1:9" x14ac:dyDescent="0.3">
      <c r="A42" s="1" t="s">
        <v>135</v>
      </c>
      <c r="B42">
        <f>B31+B37</f>
        <v>4.3846349338672718E-3</v>
      </c>
      <c r="C42" t="s">
        <v>66</v>
      </c>
      <c r="D42">
        <f>B42*1000</f>
        <v>4.3846349338672717</v>
      </c>
      <c r="E42" t="s">
        <v>67</v>
      </c>
      <c r="F42">
        <f>B42*35.3147</f>
        <v>0.15484206729904254</v>
      </c>
      <c r="G42" t="s">
        <v>113</v>
      </c>
      <c r="I4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8"/>
  <sheetViews>
    <sheetView workbookViewId="0">
      <selection activeCell="H19" sqref="H19"/>
    </sheetView>
  </sheetViews>
  <sheetFormatPr defaultRowHeight="14.4" x14ac:dyDescent="0.3"/>
  <cols>
    <col min="1" max="1" width="29.88671875" bestFit="1" customWidth="1"/>
    <col min="2" max="2" width="12.6640625" bestFit="1" customWidth="1"/>
  </cols>
  <sheetData>
    <row r="1" spans="1:9" s="29" customFormat="1" x14ac:dyDescent="0.3">
      <c r="A1" s="37" t="s">
        <v>439</v>
      </c>
      <c r="B1" s="38" t="s">
        <v>441</v>
      </c>
      <c r="C1" s="39"/>
      <c r="D1" s="39"/>
      <c r="E1" s="39"/>
      <c r="F1" s="40" t="s">
        <v>443</v>
      </c>
      <c r="G1" s="41"/>
      <c r="H1" s="41"/>
      <c r="I1" s="41"/>
    </row>
    <row r="2" spans="1:9" x14ac:dyDescent="0.3">
      <c r="A2" t="s">
        <v>440</v>
      </c>
      <c r="B2">
        <v>35</v>
      </c>
      <c r="C2" t="s">
        <v>442</v>
      </c>
      <c r="D2">
        <f>B2*6.89476</f>
        <v>241.31659999999999</v>
      </c>
      <c r="E2" t="s">
        <v>144</v>
      </c>
      <c r="F2">
        <v>42</v>
      </c>
      <c r="G2" t="s">
        <v>442</v>
      </c>
      <c r="H2">
        <f>F2*6.89476</f>
        <v>289.57992000000002</v>
      </c>
      <c r="I2" t="s">
        <v>143</v>
      </c>
    </row>
    <row r="5" spans="1:9" s="6" customFormat="1" x14ac:dyDescent="0.3">
      <c r="A5" s="8" t="s">
        <v>175</v>
      </c>
    </row>
    <row r="6" spans="1:9" x14ac:dyDescent="0.3">
      <c r="A6" t="s">
        <v>140</v>
      </c>
      <c r="B6">
        <v>1000</v>
      </c>
      <c r="C6" t="s">
        <v>141</v>
      </c>
      <c r="D6">
        <f>B6*6894.76</f>
        <v>6894760</v>
      </c>
      <c r="E6" t="s">
        <v>148</v>
      </c>
    </row>
    <row r="7" spans="1:9" x14ac:dyDescent="0.3">
      <c r="A7" t="s">
        <v>156</v>
      </c>
      <c r="B7">
        <f>B6*1.5</f>
        <v>1500</v>
      </c>
      <c r="C7" t="s">
        <v>141</v>
      </c>
      <c r="D7">
        <f>B7*6894.76</f>
        <v>10342140</v>
      </c>
      <c r="E7" t="s">
        <v>148</v>
      </c>
    </row>
    <row r="8" spans="1:9" x14ac:dyDescent="0.3">
      <c r="A8" t="s">
        <v>157</v>
      </c>
      <c r="B8">
        <f>B6*2.5</f>
        <v>2500</v>
      </c>
      <c r="C8" t="s">
        <v>141</v>
      </c>
      <c r="D8">
        <f>B8*6894.76</f>
        <v>17236900</v>
      </c>
      <c r="E8" t="s">
        <v>148</v>
      </c>
    </row>
    <row r="10" spans="1:9" ht="15" thickBot="1" x14ac:dyDescent="0.35">
      <c r="A10" s="10" t="s">
        <v>149</v>
      </c>
    </row>
    <row r="11" spans="1:9" ht="15.6" thickTop="1" thickBot="1" x14ac:dyDescent="0.35">
      <c r="A11" t="s">
        <v>142</v>
      </c>
      <c r="B11" s="11">
        <v>55</v>
      </c>
      <c r="C11" t="s">
        <v>144</v>
      </c>
      <c r="D11">
        <f>B11*0.14504</f>
        <v>7.9771999999999998</v>
      </c>
      <c r="E11" t="s">
        <v>147</v>
      </c>
      <c r="F11" t="s">
        <v>145</v>
      </c>
      <c r="G11" t="s">
        <v>146</v>
      </c>
    </row>
    <row r="12" spans="1:9" ht="15.6" thickTop="1" thickBot="1" x14ac:dyDescent="0.35">
      <c r="A12" t="s">
        <v>139</v>
      </c>
      <c r="B12" s="11">
        <v>124</v>
      </c>
      <c r="C12" t="s">
        <v>143</v>
      </c>
      <c r="D12">
        <f>B12*0.14504</f>
        <v>17.984960000000001</v>
      </c>
      <c r="E12" t="s">
        <v>147</v>
      </c>
    </row>
    <row r="13" spans="1:9" ht="15" thickTop="1" x14ac:dyDescent="0.3">
      <c r="A13" t="s">
        <v>150</v>
      </c>
      <c r="B13">
        <f>'Test and practical stuff'!B32</f>
        <v>8.8899999999999993E-2</v>
      </c>
      <c r="C13" t="s">
        <v>53</v>
      </c>
    </row>
    <row r="14" spans="1:9" x14ac:dyDescent="0.3">
      <c r="A14" t="s">
        <v>151</v>
      </c>
      <c r="B14">
        <f>D14*0.0254</f>
        <v>6.3499999999999997E-3</v>
      </c>
      <c r="C14" t="s">
        <v>53</v>
      </c>
      <c r="D14">
        <v>0.25</v>
      </c>
      <c r="E14" t="s">
        <v>63</v>
      </c>
    </row>
    <row r="15" spans="1:9" x14ac:dyDescent="0.3">
      <c r="A15" t="s">
        <v>162</v>
      </c>
      <c r="B15">
        <f>(B13*D6)/(2*B14)</f>
        <v>48263320</v>
      </c>
      <c r="C15" t="s">
        <v>148</v>
      </c>
      <c r="D15">
        <f>B15/1000000</f>
        <v>48.26332</v>
      </c>
      <c r="E15" t="s">
        <v>143</v>
      </c>
    </row>
    <row r="16" spans="1:9" x14ac:dyDescent="0.3">
      <c r="A16" t="s">
        <v>158</v>
      </c>
      <c r="B16">
        <f>B11/D15</f>
        <v>1.1395817776315429</v>
      </c>
      <c r="C16" t="s">
        <v>152</v>
      </c>
    </row>
    <row r="17" spans="1:5" x14ac:dyDescent="0.3">
      <c r="A17" t="s">
        <v>159</v>
      </c>
      <c r="B17">
        <f>B16-1</f>
        <v>0.13958177763154289</v>
      </c>
      <c r="C17" t="s">
        <v>152</v>
      </c>
    </row>
    <row r="18" spans="1:5" x14ac:dyDescent="0.3">
      <c r="A18" t="s">
        <v>163</v>
      </c>
      <c r="B18">
        <f>(B13*D7)/(2*B14)</f>
        <v>72394980</v>
      </c>
      <c r="C18" t="s">
        <v>148</v>
      </c>
      <c r="D18">
        <f>B18/1000000</f>
        <v>72.394980000000004</v>
      </c>
      <c r="E18" t="s">
        <v>143</v>
      </c>
    </row>
    <row r="19" spans="1:5" x14ac:dyDescent="0.3">
      <c r="A19" t="s">
        <v>153</v>
      </c>
      <c r="B19">
        <f>B11/D18</f>
        <v>0.75972118508769526</v>
      </c>
      <c r="C19" t="s">
        <v>152</v>
      </c>
    </row>
    <row r="20" spans="1:5" x14ac:dyDescent="0.3">
      <c r="A20" t="s">
        <v>154</v>
      </c>
      <c r="B20">
        <f>B19-1</f>
        <v>-0.24027881491230474</v>
      </c>
      <c r="C20" t="s">
        <v>152</v>
      </c>
    </row>
    <row r="21" spans="1:5" x14ac:dyDescent="0.3">
      <c r="A21" t="s">
        <v>164</v>
      </c>
      <c r="B21">
        <f>(B13*D8)/(2*B14)</f>
        <v>120658300</v>
      </c>
      <c r="C21" t="s">
        <v>148</v>
      </c>
      <c r="D21">
        <f>B21/1000000</f>
        <v>120.6583</v>
      </c>
      <c r="E21" t="s">
        <v>143</v>
      </c>
    </row>
    <row r="22" spans="1:5" x14ac:dyDescent="0.3">
      <c r="A22" t="s">
        <v>160</v>
      </c>
      <c r="B22">
        <f>B12/D21</f>
        <v>1.0276955667368097</v>
      </c>
      <c r="C22" t="s">
        <v>152</v>
      </c>
    </row>
    <row r="23" spans="1:5" x14ac:dyDescent="0.3">
      <c r="A23" t="s">
        <v>161</v>
      </c>
      <c r="B23">
        <f>B22-1</f>
        <v>2.7695566736809729E-2</v>
      </c>
      <c r="C23" t="s">
        <v>152</v>
      </c>
    </row>
    <row r="25" spans="1:5" x14ac:dyDescent="0.3">
      <c r="A25" s="1" t="s">
        <v>176</v>
      </c>
    </row>
    <row r="26" spans="1:5" x14ac:dyDescent="0.3">
      <c r="A26" t="s">
        <v>166</v>
      </c>
      <c r="B26">
        <f>(D6*B13)/(4*B14)</f>
        <v>24131660</v>
      </c>
      <c r="C26" t="s">
        <v>148</v>
      </c>
      <c r="D26">
        <f>B26/1000000</f>
        <v>24.13166</v>
      </c>
      <c r="E26" t="s">
        <v>143</v>
      </c>
    </row>
    <row r="27" spans="1:5" x14ac:dyDescent="0.3">
      <c r="A27" t="s">
        <v>172</v>
      </c>
      <c r="B27">
        <f>B11/D26</f>
        <v>2.2791635552630858</v>
      </c>
      <c r="C27" t="s">
        <v>152</v>
      </c>
    </row>
    <row r="28" spans="1:5" x14ac:dyDescent="0.3">
      <c r="A28" t="s">
        <v>173</v>
      </c>
      <c r="B28">
        <f>B27-1</f>
        <v>1.2791635552630858</v>
      </c>
      <c r="C28" t="s">
        <v>152</v>
      </c>
    </row>
    <row r="29" spans="1:5" x14ac:dyDescent="0.3">
      <c r="A29" t="s">
        <v>167</v>
      </c>
      <c r="B29">
        <f>(D7*B13)/(4*B14)</f>
        <v>36197490</v>
      </c>
      <c r="C29" t="s">
        <v>148</v>
      </c>
      <c r="D29">
        <f>B29/1000000</f>
        <v>36.197490000000002</v>
      </c>
      <c r="E29" t="s">
        <v>144</v>
      </c>
    </row>
    <row r="30" spans="1:5" x14ac:dyDescent="0.3">
      <c r="A30" t="s">
        <v>168</v>
      </c>
      <c r="B30">
        <f>B11/D29</f>
        <v>1.5194423701753905</v>
      </c>
      <c r="C30" t="s">
        <v>152</v>
      </c>
    </row>
    <row r="31" spans="1:5" x14ac:dyDescent="0.3">
      <c r="A31" t="s">
        <v>169</v>
      </c>
      <c r="B31">
        <f>B30-1</f>
        <v>0.51944237017539052</v>
      </c>
      <c r="C31" t="s">
        <v>152</v>
      </c>
    </row>
    <row r="32" spans="1:5" x14ac:dyDescent="0.3">
      <c r="A32" t="s">
        <v>174</v>
      </c>
      <c r="B32">
        <f>(D8*B13)/(4*B14)</f>
        <v>60329150</v>
      </c>
      <c r="C32" t="s">
        <v>148</v>
      </c>
      <c r="D32">
        <f>B32/1000000</f>
        <v>60.329149999999998</v>
      </c>
      <c r="E32" t="s">
        <v>143</v>
      </c>
    </row>
    <row r="33" spans="1:7" x14ac:dyDescent="0.3">
      <c r="A33" t="s">
        <v>170</v>
      </c>
      <c r="B33">
        <f>B12/D32</f>
        <v>2.0553911334736195</v>
      </c>
      <c r="C33" t="s">
        <v>152</v>
      </c>
    </row>
    <row r="34" spans="1:7" x14ac:dyDescent="0.3">
      <c r="A34" t="s">
        <v>171</v>
      </c>
      <c r="B34">
        <f>B33-1</f>
        <v>1.0553911334736195</v>
      </c>
      <c r="C34" t="s">
        <v>152</v>
      </c>
    </row>
    <row r="35" spans="1:7" x14ac:dyDescent="0.3">
      <c r="A35" s="1"/>
    </row>
    <row r="36" spans="1:7" ht="15" thickBot="1" x14ac:dyDescent="0.35">
      <c r="A36" s="10" t="s">
        <v>138</v>
      </c>
    </row>
    <row r="37" spans="1:7" ht="15.6" thickTop="1" thickBot="1" x14ac:dyDescent="0.35">
      <c r="A37" t="s">
        <v>142</v>
      </c>
      <c r="B37" s="11">
        <f>D37*6.8948</f>
        <v>179.26480000000001</v>
      </c>
      <c r="C37" t="s">
        <v>144</v>
      </c>
      <c r="D37">
        <v>26</v>
      </c>
      <c r="E37" t="s">
        <v>147</v>
      </c>
      <c r="F37" t="s">
        <v>145</v>
      </c>
      <c r="G37" t="s">
        <v>155</v>
      </c>
    </row>
    <row r="38" spans="1:7" ht="15.6" thickTop="1" thickBot="1" x14ac:dyDescent="0.35">
      <c r="A38" t="s">
        <v>139</v>
      </c>
      <c r="B38" s="11">
        <f>D38*6.8948</f>
        <v>503.32040000000001</v>
      </c>
      <c r="C38" t="s">
        <v>143</v>
      </c>
      <c r="D38">
        <v>73</v>
      </c>
      <c r="E38" t="s">
        <v>147</v>
      </c>
      <c r="F38" t="s">
        <v>145</v>
      </c>
      <c r="G38" t="s">
        <v>155</v>
      </c>
    </row>
    <row r="39" spans="1:7" ht="15" thickTop="1" x14ac:dyDescent="0.3">
      <c r="A39" t="s">
        <v>150</v>
      </c>
      <c r="B39">
        <f>'Test and practical stuff'!B32</f>
        <v>8.8899999999999993E-2</v>
      </c>
      <c r="C39" t="s">
        <v>53</v>
      </c>
    </row>
    <row r="40" spans="1:7" x14ac:dyDescent="0.3">
      <c r="A40" t="s">
        <v>151</v>
      </c>
      <c r="B40">
        <f>D40*0.0254</f>
        <v>6.3499999999999997E-3</v>
      </c>
      <c r="C40" t="s">
        <v>53</v>
      </c>
      <c r="D40">
        <v>0.25</v>
      </c>
      <c r="E40" t="s">
        <v>63</v>
      </c>
    </row>
    <row r="41" spans="1:7" x14ac:dyDescent="0.3">
      <c r="A41" t="s">
        <v>162</v>
      </c>
      <c r="B41">
        <f>(B39*D6)/(2*B40)</f>
        <v>48263320</v>
      </c>
      <c r="C41" t="s">
        <v>148</v>
      </c>
      <c r="D41">
        <f>B41/1000000</f>
        <v>48.26332</v>
      </c>
      <c r="E41" t="s">
        <v>143</v>
      </c>
    </row>
    <row r="42" spans="1:7" x14ac:dyDescent="0.3">
      <c r="A42" t="s">
        <v>158</v>
      </c>
      <c r="B42">
        <f>B37/D41</f>
        <v>3.714307262741146</v>
      </c>
      <c r="C42" t="s">
        <v>152</v>
      </c>
    </row>
    <row r="43" spans="1:7" x14ac:dyDescent="0.3">
      <c r="A43" t="s">
        <v>159</v>
      </c>
      <c r="B43">
        <f>B42-1</f>
        <v>2.714307262741146</v>
      </c>
      <c r="C43" t="s">
        <v>152</v>
      </c>
    </row>
    <row r="44" spans="1:7" x14ac:dyDescent="0.3">
      <c r="A44" t="s">
        <v>163</v>
      </c>
      <c r="B44">
        <f>(B39*D7)/(2*B40)</f>
        <v>72394980</v>
      </c>
      <c r="C44" t="s">
        <v>148</v>
      </c>
      <c r="D44">
        <f>B44/1000000</f>
        <v>72.394980000000004</v>
      </c>
      <c r="E44" t="s">
        <v>143</v>
      </c>
    </row>
    <row r="45" spans="1:7" x14ac:dyDescent="0.3">
      <c r="A45" t="s">
        <v>153</v>
      </c>
      <c r="B45">
        <f>B37/D44</f>
        <v>2.4762048418274305</v>
      </c>
      <c r="C45" t="s">
        <v>152</v>
      </c>
    </row>
    <row r="46" spans="1:7" x14ac:dyDescent="0.3">
      <c r="A46" t="s">
        <v>154</v>
      </c>
      <c r="B46">
        <f>B45-1</f>
        <v>1.4762048418274305</v>
      </c>
      <c r="C46" t="s">
        <v>152</v>
      </c>
    </row>
    <row r="47" spans="1:7" x14ac:dyDescent="0.3">
      <c r="A47" t="s">
        <v>164</v>
      </c>
      <c r="B47">
        <f>(B39*D8)/(2*B40)</f>
        <v>120658300</v>
      </c>
      <c r="C47" t="s">
        <v>148</v>
      </c>
      <c r="D47">
        <f>B47/1000000</f>
        <v>120.6583</v>
      </c>
      <c r="E47" t="s">
        <v>143</v>
      </c>
    </row>
    <row r="48" spans="1:7" x14ac:dyDescent="0.3">
      <c r="A48" t="s">
        <v>160</v>
      </c>
      <c r="B48">
        <f>B38/D47</f>
        <v>4.1714527720015946</v>
      </c>
      <c r="C48" t="s">
        <v>152</v>
      </c>
    </row>
    <row r="49" spans="1:5" x14ac:dyDescent="0.3">
      <c r="A49" t="s">
        <v>161</v>
      </c>
      <c r="B49">
        <f>B48-1</f>
        <v>3.1714527720015946</v>
      </c>
      <c r="C49" t="s">
        <v>152</v>
      </c>
    </row>
    <row r="51" spans="1:5" x14ac:dyDescent="0.3">
      <c r="A51" s="1" t="s">
        <v>165</v>
      </c>
    </row>
    <row r="52" spans="1:5" x14ac:dyDescent="0.3">
      <c r="A52" t="s">
        <v>166</v>
      </c>
      <c r="B52">
        <f>(D6*B39)/(4*B40)</f>
        <v>24131660</v>
      </c>
      <c r="C52" t="s">
        <v>148</v>
      </c>
      <c r="D52">
        <f>B52/1000000</f>
        <v>24.13166</v>
      </c>
      <c r="E52" t="s">
        <v>143</v>
      </c>
    </row>
    <row r="53" spans="1:5" x14ac:dyDescent="0.3">
      <c r="A53" t="s">
        <v>172</v>
      </c>
      <c r="B53">
        <f>B37/D52</f>
        <v>7.428614525482292</v>
      </c>
      <c r="C53" t="s">
        <v>152</v>
      </c>
    </row>
    <row r="54" spans="1:5" x14ac:dyDescent="0.3">
      <c r="A54" t="s">
        <v>173</v>
      </c>
      <c r="B54">
        <f>B53-1</f>
        <v>6.428614525482292</v>
      </c>
      <c r="C54" t="s">
        <v>152</v>
      </c>
    </row>
    <row r="55" spans="1:5" x14ac:dyDescent="0.3">
      <c r="A55" t="s">
        <v>167</v>
      </c>
      <c r="B55">
        <f>(D7*B39)/(4*B40)</f>
        <v>36197490</v>
      </c>
      <c r="C55" t="s">
        <v>148</v>
      </c>
      <c r="D55">
        <f>B55/1000000</f>
        <v>36.197490000000002</v>
      </c>
      <c r="E55" t="s">
        <v>144</v>
      </c>
    </row>
    <row r="56" spans="1:5" x14ac:dyDescent="0.3">
      <c r="A56" t="s">
        <v>168</v>
      </c>
      <c r="B56">
        <f>B37/D55</f>
        <v>4.952409683654861</v>
      </c>
      <c r="C56" t="s">
        <v>152</v>
      </c>
    </row>
    <row r="57" spans="1:5" x14ac:dyDescent="0.3">
      <c r="A57" t="s">
        <v>169</v>
      </c>
      <c r="B57">
        <f>B56-1</f>
        <v>3.952409683654861</v>
      </c>
      <c r="C57" t="s">
        <v>152</v>
      </c>
    </row>
    <row r="58" spans="1:5" x14ac:dyDescent="0.3">
      <c r="A58" t="s">
        <v>174</v>
      </c>
      <c r="B58">
        <f>(D8*B39)/(4*B40)</f>
        <v>60329150</v>
      </c>
      <c r="C58" t="s">
        <v>148</v>
      </c>
      <c r="D58">
        <f>B58/1000000</f>
        <v>60.329149999999998</v>
      </c>
      <c r="E58" t="s">
        <v>143</v>
      </c>
    </row>
    <row r="59" spans="1:5" x14ac:dyDescent="0.3">
      <c r="A59" t="s">
        <v>170</v>
      </c>
      <c r="B59">
        <f>B38/D58</f>
        <v>8.3429055440031892</v>
      </c>
      <c r="C59" t="s">
        <v>152</v>
      </c>
    </row>
    <row r="60" spans="1:5" x14ac:dyDescent="0.3">
      <c r="A60" t="s">
        <v>171</v>
      </c>
      <c r="B60">
        <f>B59-1</f>
        <v>7.3429055440031892</v>
      </c>
      <c r="C60" t="s">
        <v>152</v>
      </c>
    </row>
    <row r="62" spans="1:5" x14ac:dyDescent="0.3">
      <c r="A62" s="1"/>
    </row>
    <row r="110" spans="1:5" s="6" customFormat="1" x14ac:dyDescent="0.3">
      <c r="A110" s="5" t="s">
        <v>326</v>
      </c>
    </row>
    <row r="111" spans="1:5" x14ac:dyDescent="0.3">
      <c r="A111" t="s">
        <v>328</v>
      </c>
      <c r="B111">
        <v>1.5</v>
      </c>
    </row>
    <row r="112" spans="1:5" x14ac:dyDescent="0.3">
      <c r="A112" t="s">
        <v>140</v>
      </c>
      <c r="B112">
        <f>'Engine Requirements'!B2*B111</f>
        <v>498</v>
      </c>
      <c r="C112" t="s">
        <v>38</v>
      </c>
      <c r="D112">
        <f>B112*6894.76</f>
        <v>3433590.48</v>
      </c>
      <c r="E112" t="s">
        <v>148</v>
      </c>
    </row>
    <row r="113" spans="1:7" x14ac:dyDescent="0.3">
      <c r="D113">
        <f>D112*1.5</f>
        <v>5150385.72</v>
      </c>
      <c r="E113" t="s">
        <v>148</v>
      </c>
    </row>
    <row r="114" spans="1:7" x14ac:dyDescent="0.3">
      <c r="D114">
        <f>D112*2.5</f>
        <v>8583976.1999999993</v>
      </c>
      <c r="E114" t="s">
        <v>148</v>
      </c>
    </row>
    <row r="115" spans="1:7" ht="15" thickBot="1" x14ac:dyDescent="0.35">
      <c r="A115" s="1" t="s">
        <v>138</v>
      </c>
    </row>
    <row r="116" spans="1:7" ht="15.6" thickTop="1" thickBot="1" x14ac:dyDescent="0.35">
      <c r="A116" t="s">
        <v>142</v>
      </c>
      <c r="B116" s="11">
        <f>D116*6.8948</f>
        <v>179.26480000000001</v>
      </c>
      <c r="C116" t="s">
        <v>144</v>
      </c>
      <c r="D116">
        <v>26</v>
      </c>
      <c r="E116" t="s">
        <v>147</v>
      </c>
      <c r="F116" t="s">
        <v>145</v>
      </c>
      <c r="G116" t="s">
        <v>155</v>
      </c>
    </row>
    <row r="117" spans="1:7" ht="15.6" thickTop="1" thickBot="1" x14ac:dyDescent="0.35">
      <c r="A117" t="s">
        <v>139</v>
      </c>
      <c r="B117" s="11">
        <f>D117*6.8948</f>
        <v>503.32040000000001</v>
      </c>
      <c r="C117" t="s">
        <v>143</v>
      </c>
      <c r="D117">
        <v>73</v>
      </c>
      <c r="E117" t="s">
        <v>147</v>
      </c>
      <c r="F117" t="s">
        <v>145</v>
      </c>
      <c r="G117" t="s">
        <v>155</v>
      </c>
    </row>
    <row r="118" spans="1:7" ht="15" thickTop="1" x14ac:dyDescent="0.3">
      <c r="A118" t="s">
        <v>327</v>
      </c>
      <c r="B118">
        <v>8.8800000000000004E-2</v>
      </c>
      <c r="C118" t="s">
        <v>53</v>
      </c>
      <c r="E118" t="s">
        <v>63</v>
      </c>
    </row>
    <row r="119" spans="1:7" x14ac:dyDescent="0.3">
      <c r="A119" t="s">
        <v>151</v>
      </c>
      <c r="B119">
        <f>D119*0.0254</f>
        <v>6.3499999999999997E-3</v>
      </c>
      <c r="C119" t="s">
        <v>53</v>
      </c>
      <c r="D119">
        <v>0.25</v>
      </c>
      <c r="E119" t="s">
        <v>63</v>
      </c>
    </row>
    <row r="120" spans="1:7" x14ac:dyDescent="0.3">
      <c r="A120" t="s">
        <v>162</v>
      </c>
      <c r="B120">
        <f>(B118*D112)/(2*B119)</f>
        <v>24008097.21448819</v>
      </c>
      <c r="C120" t="s">
        <v>148</v>
      </c>
      <c r="D120">
        <f>B120/1000000</f>
        <v>24.008097214488188</v>
      </c>
      <c r="E120" t="s">
        <v>143</v>
      </c>
    </row>
    <row r="121" spans="1:7" x14ac:dyDescent="0.3">
      <c r="A121" t="s">
        <v>158</v>
      </c>
      <c r="B121">
        <f>B116/D120</f>
        <v>7.4668474722694356</v>
      </c>
      <c r="C121" t="s">
        <v>152</v>
      </c>
    </row>
    <row r="122" spans="1:7" x14ac:dyDescent="0.3">
      <c r="A122" t="s">
        <v>159</v>
      </c>
      <c r="B122">
        <f>B121-1</f>
        <v>6.4668474722694356</v>
      </c>
      <c r="C122" t="s">
        <v>152</v>
      </c>
    </row>
    <row r="123" spans="1:7" x14ac:dyDescent="0.3">
      <c r="A123" t="s">
        <v>163</v>
      </c>
      <c r="B123">
        <f>(B118*D113)/(2*B119)</f>
        <v>36012145.821732283</v>
      </c>
      <c r="C123" t="s">
        <v>148</v>
      </c>
      <c r="D123">
        <f>B123/1000000</f>
        <v>36.012145821732283</v>
      </c>
      <c r="E123" t="s">
        <v>143</v>
      </c>
    </row>
    <row r="124" spans="1:7" x14ac:dyDescent="0.3">
      <c r="A124" t="s">
        <v>153</v>
      </c>
      <c r="B124">
        <f>B116/D123</f>
        <v>4.9778983148462901</v>
      </c>
      <c r="C124" t="s">
        <v>152</v>
      </c>
    </row>
    <row r="125" spans="1:7" x14ac:dyDescent="0.3">
      <c r="A125" t="s">
        <v>154</v>
      </c>
      <c r="B125">
        <f>B124-1</f>
        <v>3.9778983148462901</v>
      </c>
      <c r="C125" t="s">
        <v>152</v>
      </c>
    </row>
    <row r="126" spans="1:7" x14ac:dyDescent="0.3">
      <c r="A126" t="s">
        <v>164</v>
      </c>
      <c r="B126">
        <f>(B118*D114)/(2*B119)</f>
        <v>60020243.036220469</v>
      </c>
      <c r="C126" t="s">
        <v>148</v>
      </c>
      <c r="D126">
        <f>B126/1000000</f>
        <v>60.020243036220471</v>
      </c>
      <c r="E126" t="s">
        <v>143</v>
      </c>
    </row>
    <row r="127" spans="1:7" x14ac:dyDescent="0.3">
      <c r="A127" t="s">
        <v>160</v>
      </c>
      <c r="B127">
        <f>B117/D126</f>
        <v>8.3858440842410591</v>
      </c>
      <c r="C127" t="s">
        <v>152</v>
      </c>
    </row>
    <row r="128" spans="1:7" x14ac:dyDescent="0.3">
      <c r="A128" t="s">
        <v>161</v>
      </c>
      <c r="B128">
        <f>B127-1</f>
        <v>7.3858440842410591</v>
      </c>
      <c r="C128" t="s">
        <v>152</v>
      </c>
    </row>
  </sheetData>
  <conditionalFormatting sqref="B17 B20 B23:B24 B43 B46 B49">
    <cfRule type="cellIs" dxfId="9" priority="8" operator="greaterThan">
      <formula>0</formula>
    </cfRule>
    <cfRule type="cellIs" dxfId="8" priority="9" operator="lessThan">
      <formula>0</formula>
    </cfRule>
  </conditionalFormatting>
  <conditionalFormatting sqref="B28 B31 B34">
    <cfRule type="cellIs" dxfId="7" priority="4" operator="greaterThan">
      <formula>0</formula>
    </cfRule>
    <cfRule type="cellIs" dxfId="6" priority="5" operator="lessThan">
      <formula>0</formula>
    </cfRule>
  </conditionalFormatting>
  <conditionalFormatting sqref="B54 B57 B60">
    <cfRule type="cellIs" dxfId="5" priority="6" operator="greaterThan">
      <formula>0</formula>
    </cfRule>
    <cfRule type="cellIs" dxfId="4" priority="7" operator="lessThan">
      <formula>0</formula>
    </cfRule>
  </conditionalFormatting>
  <conditionalFormatting sqref="B122 B125 B128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workbookViewId="0">
      <selection activeCell="D48" sqref="D48"/>
    </sheetView>
  </sheetViews>
  <sheetFormatPr defaultRowHeight="14.4" x14ac:dyDescent="0.3"/>
  <cols>
    <col min="1" max="1" width="13.88671875" bestFit="1" customWidth="1"/>
    <col min="2" max="2" width="12.6640625" bestFit="1" customWidth="1"/>
    <col min="3" max="3" width="24.44140625" bestFit="1" customWidth="1"/>
    <col min="4" max="4" width="16" bestFit="1" customWidth="1"/>
    <col min="6" max="6" width="12" bestFit="1" customWidth="1"/>
    <col min="7" max="7" width="12" customWidth="1"/>
    <col min="8" max="9" width="13.5546875" bestFit="1" customWidth="1"/>
    <col min="11" max="11" width="12" bestFit="1" customWidth="1"/>
  </cols>
  <sheetData>
    <row r="1" spans="1:13" x14ac:dyDescent="0.3">
      <c r="A1" s="1" t="s">
        <v>373</v>
      </c>
      <c r="B1" s="1" t="s">
        <v>368</v>
      </c>
      <c r="C1" s="1" t="s">
        <v>374</v>
      </c>
      <c r="D1" s="1" t="s">
        <v>330</v>
      </c>
      <c r="E1" s="1" t="s">
        <v>388</v>
      </c>
      <c r="F1" s="1" t="s">
        <v>378</v>
      </c>
      <c r="G1" s="1" t="s">
        <v>364</v>
      </c>
      <c r="H1" s="1" t="s">
        <v>380</v>
      </c>
      <c r="I1" s="1" t="s">
        <v>379</v>
      </c>
      <c r="K1" s="1" t="s">
        <v>381</v>
      </c>
      <c r="L1" s="1"/>
    </row>
    <row r="2" spans="1:13" x14ac:dyDescent="0.3">
      <c r="A2">
        <v>98</v>
      </c>
      <c r="B2">
        <f>A2*1000</f>
        <v>98000</v>
      </c>
      <c r="C2">
        <f>'Engine Requirements'!$G$62*(B2/'Engine Requirements'!$K$62)^(('Combustion Analysis'!$B$58-1)/'Combustion Analysis'!$B$58)</f>
        <v>1418.9638810303898</v>
      </c>
      <c r="D2">
        <f>'Engine Requirements'!$J$62*('Engine Requirements'!$K$62/B2)^(1/'Combustion Analysis'!$B$58)</f>
        <v>4.4928891462818399</v>
      </c>
      <c r="E2">
        <f>SQRT(((2*'Combustion Analysis'!$B$58)/('Combustion Analysis'!$B$58-1))*'Combustion Analysis'!$B$69*'Engine Requirements'!$G$62*(1-('Solution of Isentropic Expansio'!B2/'Engine Requirements'!$K$62)^(('Combustion Analysis'!$B$58-1)/'Combustion Analysis'!$B$58)))</f>
        <v>2050.2765758683177</v>
      </c>
      <c r="F2">
        <f>('Engine Requirements'!$B$24*'Solution of Isentropic Expansio'!D2)/'Solution of Isentropic Expansio'!E2</f>
        <v>1.1914810476338781E-3</v>
      </c>
      <c r="G2">
        <f>F2*1550</f>
        <v>1.8467956238325109</v>
      </c>
      <c r="H2">
        <f>(2*SQRT(F2/PI()))</f>
        <v>3.8949207779490631E-2</v>
      </c>
      <c r="I2" s="22">
        <f>H2*39.3701</f>
        <v>1.5334342051993242</v>
      </c>
      <c r="K2">
        <f>SQRT('Combustion Analysis'!$B$58*'Combustion Analysis'!$B$69*'Solution of Isentropic Expansio'!C2)</f>
        <v>765.0047880890628</v>
      </c>
      <c r="L2" s="1"/>
    </row>
    <row r="3" spans="1:13" x14ac:dyDescent="0.3">
      <c r="A3">
        <v>100</v>
      </c>
      <c r="B3">
        <f>A3*1000</f>
        <v>100000</v>
      </c>
      <c r="C3">
        <f>'Engine Requirements'!$G$62*(B3/'Engine Requirements'!$K$62)^(('Combustion Analysis'!$B$58-1)/'Combustion Analysis'!$B$58)</f>
        <v>1426.0808541707263</v>
      </c>
      <c r="D3">
        <f>'Engine Requirements'!$J$62*('Engine Requirements'!$K$62/B3)^(1/'Combustion Analysis'!$B$58)</f>
        <v>4.4251152630015644</v>
      </c>
      <c r="E3">
        <f>SQRT(((2*'Combustion Analysis'!$B$58)/('Combustion Analysis'!$B$58-1))*'Combustion Analysis'!$B$69*'Engine Requirements'!$G$62*(1-('Solution of Isentropic Expansio'!B3/'Engine Requirements'!$K$62)^(('Combustion Analysis'!$B$58-1)/'Combustion Analysis'!$B$58)))</f>
        <v>2045.9224883929194</v>
      </c>
      <c r="F3">
        <f>('Engine Requirements'!$B$24*'Solution of Isentropic Expansio'!D3)/'Solution of Isentropic Expansio'!E3</f>
        <v>1.1760053477717193E-3</v>
      </c>
      <c r="G3">
        <f>F3*1550</f>
        <v>1.822808289046165</v>
      </c>
      <c r="H3">
        <f>(2*SQRT(F3/PI()))</f>
        <v>3.869543272277725E-2</v>
      </c>
      <c r="I3" s="22">
        <f>H3*39.3701</f>
        <v>1.5234430558390126</v>
      </c>
      <c r="K3">
        <f>SQRT('Combustion Analysis'!$B$58*'Combustion Analysis'!$B$69*'Solution of Isentropic Expansio'!C3)</f>
        <v>766.92087234246071</v>
      </c>
    </row>
    <row r="4" spans="1:13" x14ac:dyDescent="0.3">
      <c r="A4">
        <v>150</v>
      </c>
      <c r="B4">
        <f t="shared" ref="B4:B47" si="0">A4*1000</f>
        <v>150000</v>
      </c>
      <c r="C4">
        <f>'Engine Requirements'!$G$62*(B4/'Engine Requirements'!$K$62)^(('Combustion Analysis'!$B$58-1)/'Combustion Analysis'!$B$58)</f>
        <v>1576.7108914138162</v>
      </c>
      <c r="D4">
        <f>'Engine Requirements'!$J$62*('Engine Requirements'!$K$62/B4)^(1/'Combustion Analysis'!$B$58)</f>
        <v>3.2616792194405719</v>
      </c>
      <c r="E4">
        <f>SQRT(((2*'Combustion Analysis'!$B$58)/('Combustion Analysis'!$B$58-1))*'Combustion Analysis'!$B$69*'Engine Requirements'!$G$62*(1-('Solution of Isentropic Expansio'!B4/'Engine Requirements'!$K$62)^(('Combustion Analysis'!$B$58-1)/'Combustion Analysis'!$B$58)))</f>
        <v>1951.4913224280383</v>
      </c>
      <c r="F4">
        <f>('Engine Requirements'!$B$24*'Solution of Isentropic Expansio'!D4)/'Solution of Isentropic Expansio'!E4</f>
        <v>9.0875854488608901E-4</v>
      </c>
      <c r="G4">
        <f t="shared" ref="G4:G47" si="1">F4*1550</f>
        <v>1.4085757445734379</v>
      </c>
      <c r="H4">
        <f t="shared" ref="H4:H47" si="2">(2*SQRT(F4/PI()))</f>
        <v>3.4015692201761129E-2</v>
      </c>
      <c r="I4" s="22">
        <f t="shared" ref="I4:I47" si="3">H4*39.3701</f>
        <v>1.3392012035525558</v>
      </c>
      <c r="K4">
        <f>SQRT('Combustion Analysis'!$B$58*'Combustion Analysis'!$B$69*'Solution of Isentropic Expansio'!C4)</f>
        <v>806.40742286141597</v>
      </c>
    </row>
    <row r="5" spans="1:13" x14ac:dyDescent="0.3">
      <c r="A5">
        <v>200</v>
      </c>
      <c r="B5">
        <f t="shared" si="0"/>
        <v>200000</v>
      </c>
      <c r="C5">
        <f>'Engine Requirements'!$G$62*(B5/'Engine Requirements'!$K$62)^(('Combustion Analysis'!$B$58-1)/'Combustion Analysis'!$B$58)</f>
        <v>1693.138082248448</v>
      </c>
      <c r="D5">
        <f>'Engine Requirements'!$J$62*('Engine Requirements'!$K$62/B5)^(1/'Combustion Analysis'!$B$58)</f>
        <v>2.6268956448768939</v>
      </c>
      <c r="E5">
        <f>SQRT(((2*'Combustion Analysis'!$B$58)/('Combustion Analysis'!$B$58-1))*'Combustion Analysis'!$B$69*'Engine Requirements'!$G$62*(1-('Solution of Isentropic Expansio'!B5/'Engine Requirements'!$K$62)^(('Combustion Analysis'!$B$58-1)/'Combustion Analysis'!$B$58)))</f>
        <v>1875.2468170715747</v>
      </c>
      <c r="F5">
        <f>('Engine Requirements'!$B$24*'Solution of Isentropic Expansio'!D5)/'Solution of Isentropic Expansio'!E5</f>
        <v>7.6165494975230573E-4</v>
      </c>
      <c r="G5">
        <f t="shared" si="1"/>
        <v>1.1805651721160739</v>
      </c>
      <c r="H5">
        <f t="shared" si="2"/>
        <v>3.1141117537235381E-2</v>
      </c>
      <c r="I5" s="22">
        <f t="shared" si="3"/>
        <v>1.2260289115527108</v>
      </c>
      <c r="K5">
        <f>SQRT('Combustion Analysis'!$B$58*'Combustion Analysis'!$B$69*'Solution of Isentropic Expansio'!C5)</f>
        <v>835.65048956760415</v>
      </c>
    </row>
    <row r="6" spans="1:13" x14ac:dyDescent="0.3">
      <c r="A6">
        <v>250</v>
      </c>
      <c r="B6">
        <f t="shared" si="0"/>
        <v>250000</v>
      </c>
      <c r="C6">
        <f>'Engine Requirements'!$G$62*(B6/'Engine Requirements'!$K$62)^(('Combustion Analysis'!$B$58-1)/'Combustion Analysis'!$B$58)</f>
        <v>1789.3345480554535</v>
      </c>
      <c r="D6">
        <f>'Engine Requirements'!$J$62*('Engine Requirements'!$K$62/B6)^(1/'Combustion Analysis'!$B$58)</f>
        <v>2.2209152015635349</v>
      </c>
      <c r="E6">
        <f>SQRT(((2*'Combustion Analysis'!$B$58)/('Combustion Analysis'!$B$58-1))*'Combustion Analysis'!$B$69*'Engine Requirements'!$G$62*(1-('Solution of Isentropic Expansio'!B6/'Engine Requirements'!$K$62)^(('Combustion Analysis'!$B$58-1)/'Combustion Analysis'!$B$58)))</f>
        <v>1809.8290738732105</v>
      </c>
      <c r="F6">
        <f>('Engine Requirements'!$B$24*'Solution of Isentropic Expansio'!D6)/'Solution of Isentropic Expansio'!E6</f>
        <v>6.6721884087071065E-4</v>
      </c>
      <c r="G6">
        <f t="shared" si="1"/>
        <v>1.0341892033496014</v>
      </c>
      <c r="H6">
        <f t="shared" si="2"/>
        <v>2.914668785966849E-2</v>
      </c>
      <c r="I6" s="22">
        <f t="shared" si="3"/>
        <v>1.1475080157039343</v>
      </c>
      <c r="K6">
        <f>SQRT('Combustion Analysis'!$B$58*'Combustion Analysis'!$B$69*'Solution of Isentropic Expansio'!C6)</f>
        <v>859.06150117274535</v>
      </c>
    </row>
    <row r="7" spans="1:13" x14ac:dyDescent="0.3">
      <c r="A7">
        <v>300</v>
      </c>
      <c r="B7">
        <f t="shared" si="0"/>
        <v>300000</v>
      </c>
      <c r="C7">
        <f>'Engine Requirements'!$G$62*(B7/'Engine Requirements'!$K$62)^(('Combustion Analysis'!$B$58-1)/'Combustion Analysis'!$B$58)</f>
        <v>1871.9760854660731</v>
      </c>
      <c r="D7">
        <f>'Engine Requirements'!$J$62*('Engine Requirements'!$K$62/B7)^(1/'Combustion Analysis'!$B$58)</f>
        <v>1.9362413015931608</v>
      </c>
      <c r="E7">
        <f>SQRT(((2*'Combustion Analysis'!$B$58)/('Combustion Analysis'!$B$58-1))*'Combustion Analysis'!$B$69*'Engine Requirements'!$G$62*(1-('Solution of Isentropic Expansio'!B7/'Engine Requirements'!$K$62)^(('Combustion Analysis'!$B$58-1)/'Combustion Analysis'!$B$58)))</f>
        <v>1751.6794000357033</v>
      </c>
      <c r="F7">
        <f>('Engine Requirements'!$B$24*'Solution of Isentropic Expansio'!D7)/'Solution of Isentropic Expansio'!E7</f>
        <v>6.0100590957209597E-4</v>
      </c>
      <c r="G7">
        <f t="shared" si="1"/>
        <v>0.93155915983674875</v>
      </c>
      <c r="H7">
        <f t="shared" si="2"/>
        <v>2.7662691313151688E-2</v>
      </c>
      <c r="I7" s="22">
        <f t="shared" si="3"/>
        <v>1.0890829232679133</v>
      </c>
      <c r="K7">
        <f>SQRT('Combustion Analysis'!$B$58*'Combustion Analysis'!$B$69*'Solution of Isentropic Expansio'!C7)</f>
        <v>878.67573045290703</v>
      </c>
    </row>
    <row r="8" spans="1:13" x14ac:dyDescent="0.3">
      <c r="A8">
        <v>350</v>
      </c>
      <c r="B8">
        <f t="shared" si="0"/>
        <v>350000</v>
      </c>
      <c r="C8">
        <f>'Engine Requirements'!$G$62*(B8/'Engine Requirements'!$K$62)^(('Combustion Analysis'!$B$58-1)/'Combustion Analysis'!$B$58)</f>
        <v>1944.8193076045993</v>
      </c>
      <c r="D8">
        <f>'Engine Requirements'!$J$62*('Engine Requirements'!$K$62/B8)^(1/'Combustion Analysis'!$B$58)</f>
        <v>1.724215921997877</v>
      </c>
      <c r="E8">
        <f>SQRT(((2*'Combustion Analysis'!$B$58)/('Combustion Analysis'!$B$58-1))*'Combustion Analysis'!$B$69*'Engine Requirements'!$G$62*(1-('Solution of Isentropic Expansio'!B8/'Engine Requirements'!$K$62)^(('Combustion Analysis'!$B$58-1)/'Combustion Analysis'!$B$58)))</f>
        <v>1698.7745126470957</v>
      </c>
      <c r="F8">
        <f>('Engine Requirements'!$B$24*'Solution of Isentropic Expansio'!D8)/'Solution of Isentropic Expansio'!E8</f>
        <v>5.5186112250120466E-4</v>
      </c>
      <c r="G8">
        <f t="shared" si="1"/>
        <v>0.85538473987686725</v>
      </c>
      <c r="H8">
        <f t="shared" si="2"/>
        <v>2.6507572585404152E-2</v>
      </c>
      <c r="I8" s="22">
        <f t="shared" si="3"/>
        <v>1.04360578344462</v>
      </c>
      <c r="K8">
        <f>SQRT('Combustion Analysis'!$B$58*'Combustion Analysis'!$B$69*'Solution of Isentropic Expansio'!C8)</f>
        <v>895.60830394779896</v>
      </c>
    </row>
    <row r="9" spans="1:13" x14ac:dyDescent="0.3">
      <c r="A9">
        <v>400</v>
      </c>
      <c r="B9">
        <f t="shared" si="0"/>
        <v>400000</v>
      </c>
      <c r="C9">
        <f>'Engine Requirements'!$G$62*(B9/'Engine Requirements'!$K$62)^(('Combustion Analysis'!$B$58-1)/'Combustion Analysis'!$B$58)</f>
        <v>2010.2061935520228</v>
      </c>
      <c r="D9">
        <f>'Engine Requirements'!$J$62*('Engine Requirements'!$K$62/B9)^(1/'Combustion Analysis'!$B$58)</f>
        <v>1.5594126523141725</v>
      </c>
      <c r="E9">
        <f>SQRT(((2*'Combustion Analysis'!$B$58)/('Combustion Analysis'!$B$58-1))*'Combustion Analysis'!$B$69*'Engine Requirements'!$G$62*(1-('Solution of Isentropic Expansio'!B9/'Engine Requirements'!$K$62)^(('Combustion Analysis'!$B$58-1)/'Combustion Analysis'!$B$58)))</f>
        <v>1649.8407879314839</v>
      </c>
      <c r="F9">
        <f>('Engine Requirements'!$B$24*'Solution of Isentropic Expansio'!D9)/'Solution of Isentropic Expansio'!E9</f>
        <v>5.139169036381746E-4</v>
      </c>
      <c r="G9">
        <f t="shared" si="1"/>
        <v>0.79657120063917064</v>
      </c>
      <c r="H9">
        <f t="shared" si="2"/>
        <v>2.5580057162171745E-2</v>
      </c>
      <c r="I9" s="22">
        <f t="shared" si="3"/>
        <v>1.0070894084804178</v>
      </c>
      <c r="K9">
        <f>SQRT('Combustion Analysis'!$B$58*'Combustion Analysis'!$B$69*'Solution of Isentropic Expansio'!C9)</f>
        <v>910.53949096687597</v>
      </c>
    </row>
    <row r="10" spans="1:13" x14ac:dyDescent="0.3">
      <c r="A10">
        <v>450</v>
      </c>
      <c r="B10">
        <f t="shared" si="0"/>
        <v>450000</v>
      </c>
      <c r="C10">
        <f>'Engine Requirements'!$G$62*(B10/'Engine Requirements'!$K$62)^(('Combustion Analysis'!$B$58-1)/'Combustion Analysis'!$B$58)</f>
        <v>2069.7038837513246</v>
      </c>
      <c r="D10">
        <f>'Engine Requirements'!$J$62*('Engine Requirements'!$K$62/B10)^(1/'Combustion Analysis'!$B$58)</f>
        <v>1.4271714163091049</v>
      </c>
      <c r="E10">
        <f>SQRT(((2*'Combustion Analysis'!$B$58)/('Combustion Analysis'!$B$58-1))*'Combustion Analysis'!$B$69*'Engine Requirements'!$G$62*(1-('Solution of Isentropic Expansio'!B10/'Engine Requirements'!$K$62)^(('Combustion Analysis'!$B$58-1)/'Combustion Analysis'!$B$58)))</f>
        <v>1604.0177032364825</v>
      </c>
      <c r="F10">
        <f>('Engine Requirements'!$B$24*'Solution of Isentropic Expansio'!D10)/'Solution of Isentropic Expansio'!E10</f>
        <v>4.8377215439111403E-4</v>
      </c>
      <c r="G10">
        <f t="shared" si="1"/>
        <v>0.74984683930622675</v>
      </c>
      <c r="H10">
        <f t="shared" si="2"/>
        <v>2.4818497891945252E-2</v>
      </c>
      <c r="I10" s="22">
        <f t="shared" si="3"/>
        <v>0.97710674385567375</v>
      </c>
      <c r="K10">
        <f>SQRT('Combustion Analysis'!$B$58*'Combustion Analysis'!$B$69*'Solution of Isentropic Expansio'!C10)</f>
        <v>923.916217276971</v>
      </c>
    </row>
    <row r="11" spans="1:13" x14ac:dyDescent="0.3">
      <c r="A11">
        <v>500</v>
      </c>
      <c r="B11">
        <f t="shared" si="0"/>
        <v>500000</v>
      </c>
      <c r="C11">
        <f>'Engine Requirements'!$G$62*(B11/'Engine Requirements'!$K$62)^(('Combustion Analysis'!$B$58-1)/'Combustion Analysis'!$B$58)</f>
        <v>2124.4170387219929</v>
      </c>
      <c r="D11">
        <f>'Engine Requirements'!$J$62*('Engine Requirements'!$K$62/B11)^(1/'Combustion Analysis'!$B$58)</f>
        <v>1.3184091540862719</v>
      </c>
      <c r="E11">
        <f>SQRT(((2*'Combustion Analysis'!$B$58)/('Combustion Analysis'!$B$58-1))*'Combustion Analysis'!$B$69*'Engine Requirements'!$G$62*(1-('Solution of Isentropic Expansio'!B11/'Engine Requirements'!$K$62)^(('Combustion Analysis'!$B$58-1)/'Combustion Analysis'!$B$58)))</f>
        <v>1560.6924919207704</v>
      </c>
      <c r="F11">
        <f>('Engine Requirements'!$B$24*'Solution of Isentropic Expansio'!D11)/'Solution of Isentropic Expansio'!E11</f>
        <v>4.5931090219934712E-4</v>
      </c>
      <c r="G11">
        <f t="shared" si="1"/>
        <v>0.71193189840898807</v>
      </c>
      <c r="H11">
        <f t="shared" si="2"/>
        <v>2.4182903134408688E-2</v>
      </c>
      <c r="I11" s="22">
        <f t="shared" si="3"/>
        <v>0.95208331469198348</v>
      </c>
      <c r="K11">
        <f>SQRT('Combustion Analysis'!$B$58*'Combustion Analysis'!$B$69*'Solution of Isentropic Expansio'!C11)</f>
        <v>936.04854152818757</v>
      </c>
    </row>
    <row r="12" spans="1:13" x14ac:dyDescent="0.3">
      <c r="A12">
        <v>550</v>
      </c>
      <c r="B12">
        <f t="shared" si="0"/>
        <v>550000</v>
      </c>
      <c r="C12">
        <f>'Engine Requirements'!$G$62*(B12/'Engine Requirements'!$K$62)^(('Combustion Analysis'!$B$58-1)/'Combustion Analysis'!$B$58)</f>
        <v>2175.1560528550222</v>
      </c>
      <c r="D12">
        <f>'Engine Requirements'!$J$62*('Engine Requirements'!$K$62/B12)^(1/'Combustion Analysis'!$B$58)</f>
        <v>1.2271797175325552</v>
      </c>
      <c r="E12">
        <f>SQRT(((2*'Combustion Analysis'!$B$58)/('Combustion Analysis'!$B$58-1))*'Combustion Analysis'!$B$69*'Engine Requirements'!$G$62*(1-('Solution of Isentropic Expansio'!B12/'Engine Requirements'!$K$62)^(('Combustion Analysis'!$B$58-1)/'Combustion Analysis'!$B$58)))</f>
        <v>1519.4105945522529</v>
      </c>
      <c r="F12">
        <f>('Engine Requirements'!$B$24*'Solution of Isentropic Expansio'!D12)/'Solution of Isentropic Expansio'!E12</f>
        <v>4.3914394976187539E-4</v>
      </c>
      <c r="G12">
        <f t="shared" si="1"/>
        <v>0.68067312213090692</v>
      </c>
      <c r="H12">
        <f t="shared" si="2"/>
        <v>2.3646044968831711E-2</v>
      </c>
      <c r="I12" s="22">
        <f t="shared" si="3"/>
        <v>0.93094715502740133</v>
      </c>
      <c r="K12">
        <f>SQRT('Combustion Analysis'!$B$58*'Combustion Analysis'!$B$69*'Solution of Isentropic Expansio'!C12)</f>
        <v>947.16075055284261</v>
      </c>
    </row>
    <row r="13" spans="1:13" x14ac:dyDescent="0.3">
      <c r="A13">
        <v>600</v>
      </c>
      <c r="B13">
        <f t="shared" si="0"/>
        <v>600000</v>
      </c>
      <c r="C13">
        <f>'Engine Requirements'!$G$62*(B13/'Engine Requirements'!$K$62)^(('Combustion Analysis'!$B$58-1)/'Combustion Analysis'!$B$58)</f>
        <v>2222.5345709476437</v>
      </c>
      <c r="D13">
        <f>'Engine Requirements'!$J$62*('Engine Requirements'!$K$62/B13)^(1/'Combustion Analysis'!$B$58)</f>
        <v>1.1494172558876563</v>
      </c>
      <c r="E13">
        <f>SQRT(((2*'Combustion Analysis'!$B$58)/('Combustion Analysis'!$B$58-1))*'Combustion Analysis'!$B$69*'Engine Requirements'!$G$62*(1-('Solution of Isentropic Expansio'!B13/'Engine Requirements'!$K$62)^(('Combustion Analysis'!$B$58-1)/'Combustion Analysis'!$B$58)))</f>
        <v>1479.8234670130691</v>
      </c>
      <c r="F13">
        <f>('Engine Requirements'!$B$24*'Solution of Isentropic Expansio'!D13)/'Solution of Isentropic Expansio'!E13</f>
        <v>4.2232003791037575E-4</v>
      </c>
      <c r="G13">
        <f t="shared" si="1"/>
        <v>0.6545960587610824</v>
      </c>
      <c r="H13">
        <f t="shared" si="2"/>
        <v>2.3188673373040199E-2</v>
      </c>
      <c r="I13" s="22">
        <f t="shared" si="3"/>
        <v>0.91294038956392998</v>
      </c>
      <c r="K13">
        <f>SQRT('Combustion Analysis'!$B$58*'Combustion Analysis'!$B$69*'Solution of Isentropic Expansio'!C13)</f>
        <v>957.42055119900965</v>
      </c>
    </row>
    <row r="14" spans="1:13" x14ac:dyDescent="0.3">
      <c r="A14">
        <v>650</v>
      </c>
      <c r="B14">
        <f t="shared" si="0"/>
        <v>650000</v>
      </c>
      <c r="C14">
        <f>'Engine Requirements'!$G$62*(B14/'Engine Requirements'!$K$62)^(('Combustion Analysis'!$B$58-1)/'Combustion Analysis'!$B$58)</f>
        <v>2267.0293724993144</v>
      </c>
      <c r="D14">
        <f>'Engine Requirements'!$J$62*('Engine Requirements'!$K$62/B14)^(1/'Combustion Analysis'!$B$58)</f>
        <v>1.0822416122081184</v>
      </c>
      <c r="E14">
        <f>SQRT(((2*'Combustion Analysis'!$B$58)/('Combustion Analysis'!$B$58-1))*'Combustion Analysis'!$B$69*'Engine Requirements'!$G$62*(1-('Solution of Isentropic Expansio'!B14/'Engine Requirements'!$K$62)^(('Combustion Analysis'!$B$58-1)/'Combustion Analysis'!$B$58)))</f>
        <v>1441.6563584939524</v>
      </c>
      <c r="F14">
        <f>('Engine Requirements'!$B$24*'Solution of Isentropic Expansio'!D14)/'Solution of Isentropic Expansio'!E14</f>
        <v>4.0816556450110286E-4</v>
      </c>
      <c r="G14">
        <f t="shared" si="1"/>
        <v>0.63265662497670949</v>
      </c>
      <c r="H14">
        <f t="shared" si="2"/>
        <v>2.2796765944360503E-2</v>
      </c>
      <c r="I14" s="22">
        <f t="shared" si="3"/>
        <v>0.89751095490606747</v>
      </c>
      <c r="K14">
        <f>SQRT('Combustion Analysis'!$B$58*'Combustion Analysis'!$B$69*'Solution of Isentropic Expansio'!C14)</f>
        <v>966.95676569266493</v>
      </c>
    </row>
    <row r="15" spans="1:13" x14ac:dyDescent="0.3">
      <c r="A15">
        <v>700</v>
      </c>
      <c r="B15">
        <f t="shared" si="0"/>
        <v>700000</v>
      </c>
      <c r="C15">
        <f>'Engine Requirements'!$G$62*(B15/'Engine Requirements'!$K$62)^(('Combustion Analysis'!$B$58-1)/'Combustion Analysis'!$B$58)</f>
        <v>2309.0188912971662</v>
      </c>
      <c r="D15">
        <f>'Engine Requirements'!$J$62*('Engine Requirements'!$K$62/B15)^(1/'Combustion Analysis'!$B$58)</f>
        <v>1.023551936419248</v>
      </c>
      <c r="E15">
        <f>SQRT(((2*'Combustion Analysis'!$B$58)/('Combustion Analysis'!$B$58-1))*'Combustion Analysis'!$B$69*'Engine Requirements'!$G$62*(1-('Solution of Isentropic Expansio'!B15/'Engine Requirements'!$K$62)^(('Combustion Analysis'!$B$58-1)/'Combustion Analysis'!$B$58)))</f>
        <v>1404.6874681593331</v>
      </c>
      <c r="F15">
        <f>('Engine Requirements'!$B$24*'Solution of Isentropic Expansio'!D15)/'Solution of Isentropic Expansio'!E15</f>
        <v>3.9619050360434203E-4</v>
      </c>
      <c r="G15">
        <f t="shared" si="1"/>
        <v>0.61409528058673013</v>
      </c>
      <c r="H15">
        <f t="shared" si="2"/>
        <v>2.2459862342356137E-2</v>
      </c>
      <c r="I15" s="22">
        <f t="shared" si="3"/>
        <v>0.88424702640479536</v>
      </c>
      <c r="K15">
        <f>SQRT('Combustion Analysis'!$B$58*'Combustion Analysis'!$B$69*'Solution of Isentropic Expansio'!C15)</f>
        <v>975.87058149669519</v>
      </c>
      <c r="L15">
        <f>F26*'Engine Requirements'!D2</f>
        <v>792.57982091419672</v>
      </c>
      <c r="M15" t="s">
        <v>28</v>
      </c>
    </row>
    <row r="16" spans="1:13" x14ac:dyDescent="0.3">
      <c r="A16">
        <v>750</v>
      </c>
      <c r="B16">
        <f t="shared" si="0"/>
        <v>750000</v>
      </c>
      <c r="C16">
        <f>'Engine Requirements'!$G$62*(B16/'Engine Requirements'!$K$62)^(('Combustion Analysis'!$B$58-1)/'Combustion Analysis'!$B$58)</f>
        <v>2348.8089564219404</v>
      </c>
      <c r="D16">
        <f>'Engine Requirements'!$J$62*('Engine Requirements'!$K$62/B16)^(1/'Combustion Analysis'!$B$58)</f>
        <v>0.97177756623825495</v>
      </c>
      <c r="E16">
        <f>SQRT(((2*'Combustion Analysis'!$B$58)/('Combustion Analysis'!$B$58-1))*'Combustion Analysis'!$B$69*'Engine Requirements'!$G$62*(1-('Solution of Isentropic Expansio'!B16/'Engine Requirements'!$K$62)^(('Combustion Analysis'!$B$58-1)/'Combustion Analysis'!$B$58)))</f>
        <v>1368.7339275055151</v>
      </c>
      <c r="F16">
        <f>('Engine Requirements'!$B$24*'Solution of Isentropic Expansio'!D16)/'Solution of Isentropic Expansio'!E16</f>
        <v>3.8603059110304747E-4</v>
      </c>
      <c r="G16">
        <f t="shared" si="1"/>
        <v>0.59834741620972354</v>
      </c>
      <c r="H16">
        <f t="shared" si="2"/>
        <v>2.2170011593814962E-2</v>
      </c>
      <c r="I16" s="22">
        <f t="shared" si="3"/>
        <v>0.87283557344965446</v>
      </c>
      <c r="K16">
        <f>SQRT('Combustion Analysis'!$B$58*'Combustion Analysis'!$B$69*'Solution of Isentropic Expansio'!C16)</f>
        <v>984.24298942520943</v>
      </c>
    </row>
    <row r="17" spans="1:11" x14ac:dyDescent="0.3">
      <c r="A17">
        <v>800</v>
      </c>
      <c r="B17">
        <f t="shared" si="0"/>
        <v>800000</v>
      </c>
      <c r="C17">
        <f>'Engine Requirements'!$G$62*(B17/'Engine Requirements'!$K$62)^(('Combustion Analysis'!$B$58-1)/'Combustion Analysis'!$B$58)</f>
        <v>2386.6505531720436</v>
      </c>
      <c r="D17">
        <f>'Engine Requirements'!$J$62*('Engine Requirements'!$K$62/B17)^(1/'Combustion Analysis'!$B$58)</f>
        <v>0.92571923248648225</v>
      </c>
      <c r="E17">
        <f>SQRT(((2*'Combustion Analysis'!$B$58)/('Combustion Analysis'!$B$58-1))*'Combustion Analysis'!$B$69*'Engine Requirements'!$G$62*(1-('Solution of Isentropic Expansio'!B17/'Engine Requirements'!$K$62)^(('Combustion Analysis'!$B$58-1)/'Combustion Analysis'!$B$58)))</f>
        <v>1333.6420537417521</v>
      </c>
      <c r="F17">
        <f>('Engine Requirements'!$B$24*'Solution of Isentropic Expansio'!D17)/'Solution of Isentropic Expansio'!E17</f>
        <v>3.7741042321721318E-4</v>
      </c>
      <c r="G17">
        <f t="shared" si="1"/>
        <v>0.58498615598668047</v>
      </c>
      <c r="H17">
        <f t="shared" si="2"/>
        <v>2.1921082898328486E-2</v>
      </c>
      <c r="I17" s="22">
        <f t="shared" si="3"/>
        <v>0.86303522581548231</v>
      </c>
      <c r="K17">
        <f>SQRT('Combustion Analysis'!$B$58*'Combustion Analysis'!$B$69*'Solution of Isentropic Expansio'!C17)</f>
        <v>992.13986584177633</v>
      </c>
    </row>
    <row r="18" spans="1:11" x14ac:dyDescent="0.3">
      <c r="A18">
        <v>850</v>
      </c>
      <c r="B18">
        <f t="shared" si="0"/>
        <v>850000</v>
      </c>
      <c r="C18">
        <f>'Engine Requirements'!$G$62*(B18/'Engine Requirements'!$K$62)^(('Combustion Analysis'!$B$58-1)/'Combustion Analysis'!$B$58)</f>
        <v>2422.7524161213009</v>
      </c>
      <c r="D18">
        <f>'Engine Requirements'!$J$62*('Engine Requirements'!$K$62/B18)^(1/'Combustion Analysis'!$B$58)</f>
        <v>0.88444442301617732</v>
      </c>
      <c r="E18">
        <f>SQRT(((2*'Combustion Analysis'!$B$58)/('Combustion Analysis'!$B$58-1))*'Combustion Analysis'!$B$69*'Engine Requirements'!$G$62*(1-('Solution of Isentropic Expansio'!B18/'Engine Requirements'!$K$62)^(('Combustion Analysis'!$B$58-1)/'Combustion Analysis'!$B$58)))</f>
        <v>1299.2803707409371</v>
      </c>
      <c r="F18">
        <f>('Engine Requirements'!$B$24*'Solution of Isentropic Expansio'!D18)/'Solution of Isentropic Expansio'!E18</f>
        <v>3.7011914970623631E-4</v>
      </c>
      <c r="G18">
        <f t="shared" si="1"/>
        <v>0.57368468204466627</v>
      </c>
      <c r="H18">
        <f t="shared" si="2"/>
        <v>2.1708301123527236E-2</v>
      </c>
      <c r="I18" s="22">
        <f t="shared" si="3"/>
        <v>0.85465798606337962</v>
      </c>
      <c r="K18">
        <f>SQRT('Combustion Analysis'!$B$58*'Combustion Analysis'!$B$69*'Solution of Isentropic Expansio'!C18)</f>
        <v>999.61554361774893</v>
      </c>
    </row>
    <row r="19" spans="1:11" x14ac:dyDescent="0.3">
      <c r="A19">
        <v>900</v>
      </c>
      <c r="B19">
        <f t="shared" si="0"/>
        <v>900000</v>
      </c>
      <c r="C19">
        <f>'Engine Requirements'!$G$62*(B19/'Engine Requirements'!$K$62)^(('Combustion Analysis'!$B$58-1)/'Combustion Analysis'!$B$58)</f>
        <v>2457.2901699845406</v>
      </c>
      <c r="D19">
        <f>'Engine Requirements'!$J$62*('Engine Requirements'!$K$62/B19)^(1/'Combustion Analysis'!$B$58)</f>
        <v>0.84721643509285738</v>
      </c>
      <c r="E19">
        <f>SQRT(((2*'Combustion Analysis'!$B$58)/('Combustion Analysis'!$B$58-1))*'Combustion Analysis'!$B$69*'Engine Requirements'!$G$62*(1-('Solution of Isentropic Expansio'!B19/'Engine Requirements'!$K$62)^(('Combustion Analysis'!$B$58-1)/'Combustion Analysis'!$B$58)))</f>
        <v>1265.5344759377697</v>
      </c>
      <c r="F19">
        <f>('Engine Requirements'!$B$24*'Solution of Isentropic Expansio'!D19)/'Solution of Isentropic Expansio'!E19</f>
        <v>3.6399404325600861E-4</v>
      </c>
      <c r="G19">
        <f t="shared" si="1"/>
        <v>0.56419076704681337</v>
      </c>
      <c r="H19">
        <f t="shared" si="2"/>
        <v>2.1527926280103978E-2</v>
      </c>
      <c r="I19" s="22">
        <f t="shared" si="3"/>
        <v>0.8475566104403216</v>
      </c>
      <c r="K19">
        <f>SQRT('Combustion Analysis'!$B$58*'Combustion Analysis'!$B$69*'Solution of Isentropic Expansio'!C19)</f>
        <v>1006.7153824210816</v>
      </c>
    </row>
    <row r="20" spans="1:11" x14ac:dyDescent="0.3">
      <c r="A20">
        <v>950</v>
      </c>
      <c r="B20">
        <f t="shared" si="0"/>
        <v>950000</v>
      </c>
      <c r="C20">
        <f>'Engine Requirements'!$G$62*(B20/'Engine Requirements'!$K$62)^(('Combustion Analysis'!$B$58-1)/'Combustion Analysis'!$B$58)</f>
        <v>2490.4131016512215</v>
      </c>
      <c r="D20">
        <f>'Engine Requirements'!$J$62*('Engine Requirements'!$K$62/B20)^(1/'Combustion Analysis'!$B$58)</f>
        <v>0.81344505855556914</v>
      </c>
      <c r="E20">
        <f>SQRT(((2*'Combustion Analysis'!$B$58)/('Combustion Analysis'!$B$58-1))*'Combustion Analysis'!$B$69*'Engine Requirements'!$G$62*(1-('Solution of Isentropic Expansio'!B20/'Engine Requirements'!$K$62)^(('Combustion Analysis'!$B$58-1)/'Combustion Analysis'!$B$58)))</f>
        <v>1232.3031676446478</v>
      </c>
      <c r="F20">
        <f>('Engine Requirements'!$B$24*'Solution of Isentropic Expansio'!D20)/'Solution of Isentropic Expansio'!E20</f>
        <v>3.5890916269777965E-4</v>
      </c>
      <c r="G20">
        <f t="shared" si="1"/>
        <v>0.55630920218155844</v>
      </c>
      <c r="H20">
        <f t="shared" si="2"/>
        <v>2.1377028299429258E-2</v>
      </c>
      <c r="I20" s="22">
        <f t="shared" si="3"/>
        <v>0.8416157418513599</v>
      </c>
      <c r="K20">
        <f>SQRT('Combustion Analysis'!$B$58*'Combustion Analysis'!$B$69*'Solution of Isentropic Expansio'!C20)</f>
        <v>1013.4776579776149</v>
      </c>
    </row>
    <row r="21" spans="1:11" x14ac:dyDescent="0.3">
      <c r="A21">
        <v>1000</v>
      </c>
      <c r="B21">
        <f t="shared" si="0"/>
        <v>1000000</v>
      </c>
      <c r="C21">
        <f>'Engine Requirements'!$G$62*(B21/'Engine Requirements'!$K$62)^(('Combustion Analysis'!$B$58-1)/'Combustion Analysis'!$B$58)</f>
        <v>2522.2492682080897</v>
      </c>
      <c r="D21">
        <f>'Engine Requirements'!$J$62*('Engine Requirements'!$K$62/B21)^(1/'Combustion Analysis'!$B$58)</f>
        <v>0.78265153768805529</v>
      </c>
      <c r="E21">
        <f>SQRT(((2*'Combustion Analysis'!$B$58)/('Combustion Analysis'!$B$58-1))*'Combustion Analysis'!$B$69*'Engine Requirements'!$G$62*(1-('Solution of Isentropic Expansio'!B21/'Engine Requirements'!$K$62)^(('Combustion Analysis'!$B$58-1)/'Combustion Analysis'!$B$58)))</f>
        <v>1199.4954485096307</v>
      </c>
      <c r="F21">
        <f>('Engine Requirements'!$B$24*'Solution of Isentropic Expansio'!D21)/'Solution of Isentropic Expansio'!E21</f>
        <v>3.547674151747131E-4</v>
      </c>
      <c r="G21">
        <f t="shared" si="1"/>
        <v>0.54988949352080529</v>
      </c>
      <c r="H21">
        <f t="shared" si="2"/>
        <v>2.1253326849788062E-2</v>
      </c>
      <c r="I21" s="22">
        <f t="shared" si="3"/>
        <v>0.83674560340884097</v>
      </c>
      <c r="K21">
        <f>SQRT('Combustion Analysis'!$B$58*'Combustion Analysis'!$B$69*'Solution of Isentropic Expansio'!C21)</f>
        <v>1019.9349766005381</v>
      </c>
    </row>
    <row r="22" spans="1:11" x14ac:dyDescent="0.3">
      <c r="A22">
        <v>1050</v>
      </c>
      <c r="B22">
        <f t="shared" si="0"/>
        <v>1050000</v>
      </c>
      <c r="C22">
        <f>'Engine Requirements'!$G$62*(B22/'Engine Requirements'!$K$62)^(('Combustion Analysis'!$B$58-1)/'Combustion Analysis'!$B$58)</f>
        <v>2552.9094116515275</v>
      </c>
      <c r="D22">
        <f>'Engine Requirements'!$J$62*('Engine Requirements'!$K$62/B22)^(1/'Combustion Analysis'!$B$58)</f>
        <v>0.7544431913333508</v>
      </c>
      <c r="E22">
        <f>SQRT(((2*'Combustion Analysis'!$B$58)/('Combustion Analysis'!$B$58-1))*'Combustion Analysis'!$B$69*'Engine Requirements'!$G$62*(1-('Solution of Isentropic Expansio'!B22/'Engine Requirements'!$K$62)^(('Combustion Analysis'!$B$58-1)/'Combustion Analysis'!$B$58)))</f>
        <v>1167.0281449956829</v>
      </c>
      <c r="F22">
        <f>('Engine Requirements'!$B$24*'Solution of Isentropic Expansio'!D22)/'Solution of Isentropic Expansio'!E22</f>
        <v>3.5149495726701012E-4</v>
      </c>
      <c r="G22">
        <f t="shared" si="1"/>
        <v>0.54481718376386568</v>
      </c>
      <c r="H22">
        <f t="shared" si="2"/>
        <v>2.1155076917074855E-2</v>
      </c>
      <c r="I22" s="22">
        <f t="shared" si="3"/>
        <v>0.83287749373292874</v>
      </c>
      <c r="K22">
        <f>SQRT('Combustion Analysis'!$B$58*'Combustion Analysis'!$B$69*'Solution of Isentropic Expansio'!C22)</f>
        <v>1026.1153517277301</v>
      </c>
    </row>
    <row r="23" spans="1:11" x14ac:dyDescent="0.3">
      <c r="A23">
        <v>1100</v>
      </c>
      <c r="B23">
        <f t="shared" si="0"/>
        <v>1100000</v>
      </c>
      <c r="C23">
        <f>'Engine Requirements'!$G$62*(B23/'Engine Requirements'!$K$62)^(('Combustion Analysis'!$B$58-1)/'Combustion Analysis'!$B$58)</f>
        <v>2582.4900019877537</v>
      </c>
      <c r="D23">
        <f>'Engine Requirements'!$J$62*('Engine Requirements'!$K$62/B23)^(1/'Combustion Analysis'!$B$58)</f>
        <v>0.72849470892220414</v>
      </c>
      <c r="E23">
        <f>SQRT(((2*'Combustion Analysis'!$B$58)/('Combustion Analysis'!$B$58-1))*'Combustion Analysis'!$B$69*'Engine Requirements'!$G$62*(1-('Solution of Isentropic Expansio'!B23/'Engine Requirements'!$K$62)^(('Combustion Analysis'!$B$58-1)/'Combustion Analysis'!$B$58)))</f>
        <v>1134.8239611472065</v>
      </c>
      <c r="F23">
        <f>('Engine Requirements'!$B$24*'Solution of Isentropic Expansio'!D23)/'Solution of Isentropic Expansio'!E23</f>
        <v>3.4903725942193935E-4</v>
      </c>
      <c r="G23">
        <f t="shared" si="1"/>
        <v>0.54100775210400598</v>
      </c>
      <c r="H23">
        <f t="shared" si="2"/>
        <v>2.1080987673304089E-2</v>
      </c>
      <c r="I23" s="22">
        <f t="shared" si="3"/>
        <v>0.82996059279674927</v>
      </c>
      <c r="K23">
        <f>SQRT('Combustion Analysis'!$B$58*'Combustion Analysis'!$B$69*'Solution of Isentropic Expansio'!C23)</f>
        <v>1032.0430352627934</v>
      </c>
    </row>
    <row r="24" spans="1:11" x14ac:dyDescent="0.3">
      <c r="A24">
        <v>1150</v>
      </c>
      <c r="B24">
        <f t="shared" si="0"/>
        <v>1150000</v>
      </c>
      <c r="C24">
        <f>'Engine Requirements'!$G$62*(B24/'Engine Requirements'!$K$62)^(('Combustion Analysis'!$B$58-1)/'Combustion Analysis'!$B$58)</f>
        <v>2611.0756331549619</v>
      </c>
      <c r="D24">
        <f>'Engine Requirements'!$J$62*('Engine Requirements'!$K$62/B24)^(1/'Combustion Analysis'!$B$58)</f>
        <v>0.70453415117344143</v>
      </c>
      <c r="E24">
        <f>SQRT(((2*'Combustion Analysis'!$B$58)/('Combustion Analysis'!$B$58-1))*'Combustion Analysis'!$B$69*'Engine Requirements'!$G$62*(1-('Solution of Isentropic Expansio'!B24/'Engine Requirements'!$K$62)^(('Combustion Analysis'!$B$58-1)/'Combustion Analysis'!$B$58)))</f>
        <v>1102.8098351246908</v>
      </c>
      <c r="F24">
        <f>('Engine Requirements'!$B$24*'Solution of Isentropic Expansio'!D24)/'Solution of Isentropic Expansio'!E24</f>
        <v>3.4735639939983449E-4</v>
      </c>
      <c r="G24">
        <f t="shared" si="1"/>
        <v>0.53840241906974351</v>
      </c>
      <c r="H24">
        <f t="shared" si="2"/>
        <v>2.1030166519376177E-2</v>
      </c>
      <c r="I24" s="22">
        <f t="shared" si="3"/>
        <v>0.82795975888449203</v>
      </c>
      <c r="K24">
        <f>SQRT('Combustion Analysis'!$B$58*'Combustion Analysis'!$B$69*'Solution of Isentropic Expansio'!C24)</f>
        <v>1037.7391680283104</v>
      </c>
    </row>
    <row r="25" spans="1:11" x14ac:dyDescent="0.3">
      <c r="A25">
        <v>1200</v>
      </c>
      <c r="B25">
        <f t="shared" si="0"/>
        <v>1200000</v>
      </c>
      <c r="C25">
        <f>'Engine Requirements'!$G$62*(B25/'Engine Requirements'!$K$62)^(('Combustion Analysis'!$B$58-1)/'Combustion Analysis'!$B$58)</f>
        <v>2638.7409312590548</v>
      </c>
      <c r="D25">
        <f>'Engine Requirements'!$J$62*('Engine Requirements'!$K$62/B25)^(1/'Combustion Analysis'!$B$58)</f>
        <v>0.68233232451205617</v>
      </c>
      <c r="E25">
        <f>SQRT(((2*'Combustion Analysis'!$B$58)/('Combustion Analysis'!$B$58-1))*'Combustion Analysis'!$B$69*'Engine Requirements'!$G$62*(1-('Solution of Isentropic Expansio'!B25/'Engine Requirements'!$K$62)^(('Combustion Analysis'!$B$58-1)/'Combustion Analysis'!$B$58)))</f>
        <v>1070.9154991747807</v>
      </c>
      <c r="F25">
        <f>('Engine Requirements'!$B$24*'Solution of Isentropic Expansio'!D25)/'Solution of Isentropic Expansio'!E25</f>
        <v>3.4642930856602851E-4</v>
      </c>
      <c r="G25">
        <f t="shared" si="1"/>
        <v>0.53696542827734417</v>
      </c>
      <c r="H25">
        <f t="shared" si="2"/>
        <v>2.1002083113861047E-2</v>
      </c>
      <c r="I25" s="22">
        <f t="shared" si="3"/>
        <v>0.8268541124010208</v>
      </c>
      <c r="K25">
        <f>SQRT('Combustion Analysis'!$B$58*'Combustion Analysis'!$B$69*'Solution of Isentropic Expansio'!C25)</f>
        <v>1043.2222947431731</v>
      </c>
    </row>
    <row r="26" spans="1:11" x14ac:dyDescent="0.3">
      <c r="A26" s="21">
        <v>1250</v>
      </c>
      <c r="B26" s="21">
        <f t="shared" si="0"/>
        <v>1250000</v>
      </c>
      <c r="C26" s="21">
        <f>'Engine Requirements'!$G$62*(B26/'Engine Requirements'!$K$62)^(('Combustion Analysis'!$B$58-1)/'Combustion Analysis'!$B$58)</f>
        <v>2665.5520903640449</v>
      </c>
      <c r="D26" s="21">
        <f>'Engine Requirements'!$J$62*('Engine Requirements'!$K$62/B26)^(1/'Combustion Analysis'!$B$58)</f>
        <v>0.66169461317140998</v>
      </c>
      <c r="E26" s="21">
        <f>SQRT(((2*'Combustion Analysis'!$B$58)/('Combustion Analysis'!$B$58-1))*'Combustion Analysis'!$B$69*'Engine Requirements'!$G$62*(1-('Solution of Isentropic Expansio'!B26/'Engine Requirements'!$K$62)^(('Combustion Analysis'!$B$58-1)/'Combustion Analysis'!$B$58)))</f>
        <v>1039.0721637850488</v>
      </c>
      <c r="F26" s="21">
        <f>('Engine Requirements'!$B$24*'Solution of Isentropic Expansio'!D26)/'Solution of Isentropic Expansio'!E26</f>
        <v>3.4624680441544531E-4</v>
      </c>
      <c r="G26" s="21">
        <f t="shared" si="1"/>
        <v>0.53668254684394023</v>
      </c>
      <c r="H26" s="21">
        <f t="shared" si="2"/>
        <v>2.0996550279032185E-2</v>
      </c>
      <c r="I26" s="28">
        <f t="shared" si="3"/>
        <v>0.82663628414052504</v>
      </c>
      <c r="J26" s="20" t="s">
        <v>383</v>
      </c>
      <c r="K26" s="21">
        <f>SQRT('Combustion Analysis'!$B$58*'Combustion Analysis'!$B$69*'Solution of Isentropic Expansio'!C26)</f>
        <v>1048.5087761396728</v>
      </c>
    </row>
    <row r="27" spans="1:11" x14ac:dyDescent="0.3">
      <c r="A27">
        <v>1300</v>
      </c>
      <c r="B27">
        <f t="shared" si="0"/>
        <v>1300000</v>
      </c>
      <c r="C27">
        <f>'Engine Requirements'!$G$62*(B27/'Engine Requirements'!$K$62)^(('Combustion Analysis'!$B$58-1)/'Combustion Analysis'!$B$58)</f>
        <v>2691.5681203689105</v>
      </c>
      <c r="D27">
        <f>'Engine Requirements'!$J$62*('Engine Requirements'!$K$62/B27)^(1/'Combustion Analysis'!$B$58)</f>
        <v>0.64245462747238968</v>
      </c>
      <c r="E27">
        <f>SQRT(((2*'Combustion Analysis'!$B$58)/('Combustion Analysis'!$B$58-1))*'Combustion Analysis'!$B$69*'Engine Requirements'!$G$62*(1-('Solution of Isentropic Expansio'!B27/'Engine Requirements'!$K$62)^(('Combustion Analysis'!$B$58-1)/'Combustion Analysis'!$B$58)))</f>
        <v>1007.2112581603404</v>
      </c>
      <c r="F27">
        <f>('Engine Requirements'!$B$24*'Solution of Isentropic Expansio'!D27)/'Solution of Isentropic Expansio'!E27</f>
        <v>3.468133250985592E-4</v>
      </c>
      <c r="G27">
        <f t="shared" si="1"/>
        <v>0.53756065390276675</v>
      </c>
      <c r="H27">
        <f t="shared" si="2"/>
        <v>2.1013720283580856E-2</v>
      </c>
      <c r="I27" s="22">
        <f t="shared" si="3"/>
        <v>0.8273122689366067</v>
      </c>
      <c r="K27">
        <f>SQRT('Combustion Analysis'!$B$58*'Combustion Analysis'!$B$69*'Solution of Isentropic Expansio'!C27)</f>
        <v>1053.6131220079267</v>
      </c>
    </row>
    <row r="28" spans="1:11" x14ac:dyDescent="0.3">
      <c r="A28">
        <v>1350</v>
      </c>
      <c r="B28">
        <f t="shared" si="0"/>
        <v>1350000</v>
      </c>
      <c r="C28">
        <f>'Engine Requirements'!$G$62*(B28/'Engine Requirements'!$K$62)^(('Combustion Analysis'!$B$58-1)/'Combustion Analysis'!$B$58)</f>
        <v>2716.8418698333476</v>
      </c>
      <c r="D28">
        <f>'Engine Requirements'!$J$62*('Engine Requirements'!$K$62/B28)^(1/'Combustion Analysis'!$B$58)</f>
        <v>0.62446921186783089</v>
      </c>
      <c r="E28">
        <f>SQRT(((2*'Combustion Analysis'!$B$58)/('Combustion Analysis'!$B$58-1))*'Combustion Analysis'!$B$69*'Engine Requirements'!$G$62*(1-('Solution of Isentropic Expansio'!B28/'Engine Requirements'!$K$62)^(('Combustion Analysis'!$B$58-1)/'Combustion Analysis'!$B$58)))</f>
        <v>975.26316364662739</v>
      </c>
      <c r="F28">
        <f>('Engine Requirements'!$B$24*'Solution of Isentropic Expansio'!D28)/'Solution of Isentropic Expansio'!E28</f>
        <v>3.4814735144732907E-4</v>
      </c>
      <c r="G28">
        <f t="shared" si="1"/>
        <v>0.53962839474336011</v>
      </c>
      <c r="H28">
        <f t="shared" si="2"/>
        <v>2.1054096400880042E-2</v>
      </c>
      <c r="I28" s="22">
        <f t="shared" si="3"/>
        <v>0.82890188071228732</v>
      </c>
      <c r="K28">
        <f>SQRT('Combustion Analysis'!$B$58*'Combustion Analysis'!$B$69*'Solution of Isentropic Expansio'!C28)</f>
        <v>1058.5482627608264</v>
      </c>
    </row>
    <row r="29" spans="1:11" x14ac:dyDescent="0.3">
      <c r="A29">
        <v>1400</v>
      </c>
      <c r="B29">
        <f t="shared" si="0"/>
        <v>1400000</v>
      </c>
      <c r="C29">
        <f>'Engine Requirements'!$G$62*(B29/'Engine Requirements'!$K$62)^(('Combustion Analysis'!$B$58-1)/'Combustion Analysis'!$B$58)</f>
        <v>2741.4208710905878</v>
      </c>
      <c r="D29">
        <f>'Engine Requirements'!$J$62*('Engine Requirements'!$K$62/B29)^(1/'Combustion Analysis'!$B$58)</f>
        <v>0.60761448330302736</v>
      </c>
      <c r="E29">
        <f>SQRT(((2*'Combustion Analysis'!$B$58)/('Combustion Analysis'!$B$58-1))*'Combustion Analysis'!$B$69*'Engine Requirements'!$G$62*(1-('Solution of Isentropic Expansio'!B29/'Engine Requirements'!$K$62)^(('Combustion Analysis'!$B$58-1)/'Combustion Analysis'!$B$58)))</f>
        <v>943.15587493932333</v>
      </c>
      <c r="F29">
        <f>('Engine Requirements'!$B$24*'Solution of Isentropic Expansio'!D29)/'Solution of Isentropic Expansio'!E29</f>
        <v>3.5028257065178932E-4</v>
      </c>
      <c r="G29">
        <f t="shared" si="1"/>
        <v>0.54293798451027342</v>
      </c>
      <c r="H29">
        <f t="shared" si="2"/>
        <v>2.111856104911854E-2</v>
      </c>
      <c r="I29" s="22">
        <f t="shared" si="3"/>
        <v>0.83143986035990181</v>
      </c>
      <c r="K29">
        <f>SQRT('Combustion Analysis'!$B$58*'Combustion Analysis'!$B$69*'Solution of Isentropic Expansio'!C29)</f>
        <v>1063.3257726987365</v>
      </c>
    </row>
    <row r="30" spans="1:11" x14ac:dyDescent="0.3">
      <c r="A30">
        <v>1450</v>
      </c>
      <c r="B30">
        <f t="shared" si="0"/>
        <v>1450000</v>
      </c>
      <c r="C30">
        <f>'Engine Requirements'!$G$62*(B30/'Engine Requirements'!$K$62)^(('Combustion Analysis'!$B$58-1)/'Combustion Analysis'!$B$58)</f>
        <v>2765.3480437080329</v>
      </c>
      <c r="D30">
        <f>'Engine Requirements'!$J$62*('Engine Requirements'!$K$62/B30)^(1/'Combustion Analysis'!$B$58)</f>
        <v>0.59178265891231563</v>
      </c>
      <c r="E30">
        <f>SQRT(((2*'Combustion Analysis'!$B$58)/('Combustion Analysis'!$B$58-1))*'Combustion Analysis'!$B$69*'Engine Requirements'!$G$62*(1-('Solution of Isentropic Expansio'!B30/'Engine Requirements'!$K$62)^(('Combustion Analysis'!$B$58-1)/'Combustion Analysis'!$B$58)))</f>
        <v>910.81351542466189</v>
      </c>
      <c r="F30">
        <f>('Engine Requirements'!$B$24*'Solution of Isentropic Expansio'!D30)/'Solution of Isentropic Expansio'!E30</f>
        <v>3.5326991485811317E-4</v>
      </c>
      <c r="G30">
        <f t="shared" si="1"/>
        <v>0.54756836803007536</v>
      </c>
      <c r="H30">
        <f t="shared" si="2"/>
        <v>2.1208423457734282E-2</v>
      </c>
      <c r="I30" s="22">
        <f t="shared" si="3"/>
        <v>0.83497775237334448</v>
      </c>
      <c r="K30">
        <f>SQRT('Combustion Analysis'!$B$58*'Combustion Analysis'!$B$69*'Solution of Isentropic Expansio'!C30)</f>
        <v>1067.9560549631638</v>
      </c>
    </row>
    <row r="31" spans="1:11" x14ac:dyDescent="0.3">
      <c r="A31">
        <v>1500</v>
      </c>
      <c r="B31">
        <f t="shared" si="0"/>
        <v>1500000</v>
      </c>
      <c r="C31">
        <f>'Engine Requirements'!$G$62*(B31/'Engine Requirements'!$K$62)^(('Combustion Analysis'!$B$58-1)/'Combustion Analysis'!$B$58)</f>
        <v>2788.6622840587729</v>
      </c>
      <c r="D31">
        <f>'Engine Requirements'!$J$62*('Engine Requirements'!$K$62/B31)^(1/'Combustion Analysis'!$B$58)</f>
        <v>0.57687949461655363</v>
      </c>
      <c r="E31">
        <f>SQRT(((2*'Combustion Analysis'!$B$58)/('Combustion Analysis'!$B$58-1))*'Combustion Analysis'!$B$69*'Engine Requirements'!$G$62*(1-('Solution of Isentropic Expansio'!B31/'Engine Requirements'!$K$62)^(('Combustion Analysis'!$B$58-1)/'Combustion Analysis'!$B$58)))</f>
        <v>878.15461622183489</v>
      </c>
      <c r="F31">
        <f>('Engine Requirements'!$B$24*'Solution of Isentropic Expansio'!D31)/'Solution of Isentropic Expansio'!E31</f>
        <v>3.5718071204158153E-4</v>
      </c>
      <c r="G31">
        <f t="shared" si="1"/>
        <v>0.55363010366445142</v>
      </c>
      <c r="H31">
        <f t="shared" si="2"/>
        <v>2.1325491956529503E-2</v>
      </c>
      <c r="I31" s="22">
        <f t="shared" si="3"/>
        <v>0.83958675087776224</v>
      </c>
      <c r="K31">
        <f>SQRT('Combustion Analysis'!$B$58*'Combustion Analysis'!$B$69*'Solution of Isentropic Expansio'!C31)</f>
        <v>1072.4484958330711</v>
      </c>
    </row>
    <row r="32" spans="1:11" x14ac:dyDescent="0.3">
      <c r="A32">
        <v>1550</v>
      </c>
      <c r="B32">
        <f t="shared" si="0"/>
        <v>1550000</v>
      </c>
      <c r="C32">
        <f>'Engine Requirements'!$G$62*(B32/'Engine Requirements'!$K$62)^(('Combustion Analysis'!$B$58-1)/'Combustion Analysis'!$B$58)</f>
        <v>2811.3989625894646</v>
      </c>
      <c r="D32">
        <f>'Engine Requirements'!$J$62*('Engine Requirements'!$K$62/B32)^(1/'Combustion Analysis'!$B$58)</f>
        <v>0.56282220099739033</v>
      </c>
      <c r="E32">
        <f>SQRT(((2*'Combustion Analysis'!$B$58)/('Combustion Analysis'!$B$58-1))*'Combustion Analysis'!$B$69*'Engine Requirements'!$G$62*(1-('Solution of Isentropic Expansio'!B32/'Engine Requirements'!$K$62)^(('Combustion Analysis'!$B$58-1)/'Combustion Analysis'!$B$58)))</f>
        <v>845.09004020765474</v>
      </c>
      <c r="F32">
        <f>('Engine Requirements'!$B$24*'Solution of Isentropic Expansio'!D32)/'Solution of Isentropic Expansio'!E32</f>
        <v>3.6211133713742001E-4</v>
      </c>
      <c r="G32">
        <f t="shared" si="1"/>
        <v>0.561272572563001</v>
      </c>
      <c r="H32">
        <f t="shared" si="2"/>
        <v>2.147217907060878E-2</v>
      </c>
      <c r="I32" s="22">
        <f t="shared" si="3"/>
        <v>0.8453618372277748</v>
      </c>
      <c r="K32">
        <f>SQRT('Combustion Analysis'!$B$58*'Combustion Analysis'!$B$69*'Solution of Isentropic Expansio'!C32)</f>
        <v>1076.8115942869133</v>
      </c>
    </row>
    <row r="33" spans="1:11" x14ac:dyDescent="0.3">
      <c r="A33">
        <v>1600</v>
      </c>
      <c r="B33">
        <f t="shared" si="0"/>
        <v>1600000</v>
      </c>
      <c r="C33">
        <f>'Engine Requirements'!$G$62*(B33/'Engine Requirements'!$K$62)^(('Combustion Analysis'!$B$58-1)/'Combustion Analysis'!$B$58)</f>
        <v>2833.5903457204286</v>
      </c>
      <c r="D33">
        <f>'Engine Requirements'!$J$62*('Engine Requirements'!$K$62/B33)^(1/'Combustion Analysis'!$B$58)</f>
        <v>0.54953773532851424</v>
      </c>
      <c r="E33">
        <f>SQRT(((2*'Combustion Analysis'!$B$58)/('Combustion Analysis'!$B$58-1))*'Combustion Analysis'!$B$69*'Engine Requirements'!$G$62*(1-('Solution of Isentropic Expansio'!B33/'Engine Requirements'!$K$62)^(('Combustion Analysis'!$B$58-1)/'Combustion Analysis'!$B$58)))</f>
        <v>811.52038673910442</v>
      </c>
      <c r="F33">
        <f>('Engine Requirements'!$B$24*'Solution of Isentropic Expansio'!D33)/'Solution of Isentropic Expansio'!E33</f>
        <v>3.6818998430153171E-4</v>
      </c>
      <c r="G33">
        <f t="shared" si="1"/>
        <v>0.57069447566737419</v>
      </c>
      <c r="H33">
        <f t="shared" si="2"/>
        <v>2.1651652315426852E-2</v>
      </c>
      <c r="I33" s="22">
        <f t="shared" si="3"/>
        <v>0.85242771682358676</v>
      </c>
      <c r="K33">
        <f>SQRT('Combustion Analysis'!$B$58*'Combustion Analysis'!$B$69*'Solution of Isentropic Expansio'!C33)</f>
        <v>1081.053071456894</v>
      </c>
    </row>
    <row r="34" spans="1:11" x14ac:dyDescent="0.3">
      <c r="A34">
        <v>1650</v>
      </c>
      <c r="B34">
        <f t="shared" si="0"/>
        <v>1650000</v>
      </c>
      <c r="C34">
        <f>'Engine Requirements'!$G$62*(B34/'Engine Requirements'!$K$62)^(('Combustion Analysis'!$B$58-1)/'Combustion Analysis'!$B$58)</f>
        <v>2855.2659557786269</v>
      </c>
      <c r="D34">
        <f>'Engine Requirements'!$J$62*('Engine Requirements'!$K$62/B34)^(1/'Combustion Analysis'!$B$58)</f>
        <v>0.53696139249313879</v>
      </c>
      <c r="E34">
        <f>SQRT(((2*'Combustion Analysis'!$B$58)/('Combustion Analysis'!$B$58-1))*'Combustion Analysis'!$B$69*'Engine Requirements'!$G$62*(1-('Solution of Isentropic Expansio'!B34/'Engine Requirements'!$K$62)^(('Combustion Analysis'!$B$58-1)/'Combustion Analysis'!$B$58)))</f>
        <v>777.33263976045203</v>
      </c>
      <c r="F34">
        <f>('Engine Requirements'!$B$24*'Solution of Isentropic Expansio'!D34)/'Solution of Isentropic Expansio'!E34</f>
        <v>3.75586559470939E-4</v>
      </c>
      <c r="G34">
        <f t="shared" si="1"/>
        <v>0.58215916717995542</v>
      </c>
      <c r="H34">
        <f t="shared" si="2"/>
        <v>2.1868051124629841E-2</v>
      </c>
      <c r="I34" s="22">
        <f t="shared" si="3"/>
        <v>0.86094735958178925</v>
      </c>
      <c r="K34">
        <f>SQRT('Combustion Analysis'!$B$58*'Combustion Analysis'!$B$69*'Solution of Isentropic Expansio'!C34)</f>
        <v>1085.1799636204337</v>
      </c>
    </row>
    <row r="35" spans="1:11" x14ac:dyDescent="0.3">
      <c r="A35">
        <v>1700</v>
      </c>
      <c r="B35">
        <f t="shared" si="0"/>
        <v>1700000</v>
      </c>
      <c r="C35">
        <f>'Engine Requirements'!$G$62*(B35/'Engine Requirements'!$K$62)^(('Combustion Analysis'!$B$58-1)/'Combustion Analysis'!$B$58)</f>
        <v>2876.4528796509089</v>
      </c>
      <c r="D35">
        <f>'Engine Requirements'!$J$62*('Engine Requirements'!$K$62/B35)^(1/'Combustion Analysis'!$B$58)</f>
        <v>0.52503563520307617</v>
      </c>
      <c r="E35">
        <f>SQRT(((2*'Combustion Analysis'!$B$58)/('Combustion Analysis'!$B$58-1))*'Combustion Analysis'!$B$69*'Engine Requirements'!$G$62*(1-('Solution of Isentropic Expansio'!B35/'Engine Requirements'!$K$62)^(('Combustion Analysis'!$B$58-1)/'Combustion Analysis'!$B$58)))</f>
        <v>742.39570329309493</v>
      </c>
      <c r="F35">
        <f>('Engine Requirements'!$B$24*'Solution of Isentropic Expansio'!D35)/'Solution of Isentropic Expansio'!E35</f>
        <v>3.8452733354696898E-4</v>
      </c>
      <c r="G35">
        <f t="shared" si="1"/>
        <v>0.59601736699780195</v>
      </c>
      <c r="H35">
        <f t="shared" si="2"/>
        <v>2.2126802911933953E-2</v>
      </c>
      <c r="I35" s="22">
        <f t="shared" si="3"/>
        <v>0.87113444332313095</v>
      </c>
      <c r="K35">
        <f>SQRT('Combustion Analysis'!$B$58*'Combustion Analysis'!$B$69*'Solution of Isentropic Expansio'!C35)</f>
        <v>1089.1987016237458</v>
      </c>
    </row>
    <row r="36" spans="1:11" x14ac:dyDescent="0.3">
      <c r="A36">
        <v>1750</v>
      </c>
      <c r="B36">
        <f t="shared" si="0"/>
        <v>1750000</v>
      </c>
      <c r="C36">
        <f>'Engine Requirements'!$G$62*(B36/'Engine Requirements'!$K$62)^(('Combustion Analysis'!$B$58-1)/'Combustion Analysis'!$B$58)</f>
        <v>2897.1760347440263</v>
      </c>
      <c r="D36">
        <f>'Engine Requirements'!$J$62*('Engine Requirements'!$K$62/B36)^(1/'Combustion Analysis'!$B$58)</f>
        <v>0.51370911718158752</v>
      </c>
      <c r="E36">
        <f>SQRT(((2*'Combustion Analysis'!$B$58)/('Combustion Analysis'!$B$58-1))*'Combustion Analysis'!$B$69*'Engine Requirements'!$G$62*(1-('Solution of Isentropic Expansio'!B36/'Engine Requirements'!$K$62)^(('Combustion Analysis'!$B$58-1)/'Combustion Analysis'!$B$58)))</f>
        <v>706.55427045969986</v>
      </c>
      <c r="F36">
        <f>('Engine Requirements'!$B$24*'Solution of Isentropic Expansio'!D36)/'Solution of Isentropic Expansio'!E36</f>
        <v>3.9531712948502856E-4</v>
      </c>
      <c r="G36">
        <f t="shared" si="1"/>
        <v>0.61274155070179426</v>
      </c>
      <c r="H36">
        <f t="shared" si="2"/>
        <v>2.2435093090324567E-2</v>
      </c>
      <c r="I36" s="22">
        <f t="shared" si="3"/>
        <v>0.88327185847538725</v>
      </c>
      <c r="K36">
        <f>SQRT('Combustion Analysis'!$B$58*'Combustion Analysis'!$B$69*'Solution of Isentropic Expansio'!C36)</f>
        <v>1093.1151790539898</v>
      </c>
    </row>
    <row r="37" spans="1:11" x14ac:dyDescent="0.3">
      <c r="A37">
        <v>1800</v>
      </c>
      <c r="B37">
        <f t="shared" si="0"/>
        <v>1800000</v>
      </c>
      <c r="C37">
        <f>'Engine Requirements'!$G$62*(B37/'Engine Requirements'!$K$62)^(('Combustion Analysis'!$B$58-1)/'Combustion Analysis'!$B$58)</f>
        <v>2917.4583991978211</v>
      </c>
      <c r="D37">
        <f>'Engine Requirements'!$J$62*('Engine Requirements'!$K$62/B37)^(1/'Combustion Analysis'!$B$58)</f>
        <v>0.50293586298675552</v>
      </c>
      <c r="E37">
        <f>SQRT(((2*'Combustion Analysis'!$B$58)/('Combustion Analysis'!$B$58-1))*'Combustion Analysis'!$B$69*'Engine Requirements'!$G$62*(1-('Solution of Isentropic Expansio'!B37/'Engine Requirements'!$K$62)^(('Combustion Analysis'!$B$58-1)/'Combustion Analysis'!$B$58)))</f>
        <v>669.62013103611082</v>
      </c>
      <c r="F37">
        <f>('Engine Requirements'!$B$24*'Solution of Isentropic Expansio'!D37)/'Solution of Isentropic Expansio'!E37</f>
        <v>4.0837391047680383E-4</v>
      </c>
      <c r="G37">
        <f t="shared" si="1"/>
        <v>0.63297956123904597</v>
      </c>
      <c r="H37">
        <f t="shared" si="2"/>
        <v>2.2802583446995733E-2</v>
      </c>
      <c r="I37" s="22">
        <f t="shared" si="3"/>
        <v>0.89773999056656673</v>
      </c>
      <c r="K37">
        <f>SQRT('Combustion Analysis'!$B$58*'Combustion Analysis'!$B$69*'Solution of Isentropic Expansio'!C37)</f>
        <v>1096.9348110267076</v>
      </c>
    </row>
    <row r="38" spans="1:11" x14ac:dyDescent="0.3">
      <c r="A38">
        <v>1850</v>
      </c>
      <c r="B38">
        <f t="shared" si="0"/>
        <v>1850000</v>
      </c>
      <c r="C38">
        <f>'Engine Requirements'!$G$62*(B38/'Engine Requirements'!$K$62)^(('Combustion Analysis'!$B$58-1)/'Combustion Analysis'!$B$58)</f>
        <v>2937.3212120076914</v>
      </c>
      <c r="D38">
        <f>'Engine Requirements'!$J$62*('Engine Requirements'!$K$62/B38)^(1/'Combustion Analysis'!$B$58)</f>
        <v>0.49267457578937923</v>
      </c>
      <c r="E38">
        <f>SQRT(((2*'Combustion Analysis'!$B$58)/('Combustion Analysis'!$B$58-1))*'Combustion Analysis'!$B$69*'Engine Requirements'!$G$62*(1-('Solution of Isentropic Expansio'!B38/'Engine Requirements'!$K$62)^(('Combustion Analysis'!$B$58-1)/'Combustion Analysis'!$B$58)))</f>
        <v>631.35940911309046</v>
      </c>
      <c r="F38">
        <f>('Engine Requirements'!$B$24*'Solution of Isentropic Expansio'!D38)/'Solution of Isentropic Expansio'!E38</f>
        <v>4.2428470817753005E-4</v>
      </c>
      <c r="G38">
        <f t="shared" si="1"/>
        <v>0.65764129767517154</v>
      </c>
      <c r="H38">
        <f t="shared" si="2"/>
        <v>2.3242548670015725E-2</v>
      </c>
      <c r="I38" s="22">
        <f t="shared" si="3"/>
        <v>0.91506146539338618</v>
      </c>
      <c r="K38">
        <f>SQRT('Combustion Analysis'!$B$58*'Combustion Analysis'!$B$69*'Solution of Isentropic Expansio'!C38)</f>
        <v>1100.6625851027682</v>
      </c>
    </row>
    <row r="39" spans="1:11" x14ac:dyDescent="0.3">
      <c r="A39">
        <v>1900</v>
      </c>
      <c r="B39">
        <f t="shared" si="0"/>
        <v>1900000</v>
      </c>
      <c r="C39">
        <f>'Engine Requirements'!$G$62*(B39/'Engine Requirements'!$K$62)^(('Combustion Analysis'!$B$58-1)/'Combustion Analysis'!$B$58)</f>
        <v>2956.7841476899584</v>
      </c>
      <c r="D39">
        <f>'Engine Requirements'!$J$62*('Engine Requirements'!$K$62/B39)^(1/'Combustion Analysis'!$B$58)</f>
        <v>0.48288805029156134</v>
      </c>
      <c r="E39">
        <f>SQRT(((2*'Combustion Analysis'!$B$58)/('Combustion Analysis'!$B$58-1))*'Combustion Analysis'!$B$69*'Engine Requirements'!$G$62*(1-('Solution of Isentropic Expansio'!B39/'Engine Requirements'!$K$62)^(('Combustion Analysis'!$B$58-1)/'Combustion Analysis'!$B$58)))</f>
        <v>591.47306221148472</v>
      </c>
      <c r="F39">
        <f>('Engine Requirements'!$B$24*'Solution of Isentropic Expansio'!D39)/'Solution of Isentropic Expansio'!E39</f>
        <v>4.4390023352878306E-4</v>
      </c>
      <c r="G39">
        <f t="shared" si="1"/>
        <v>0.68804536196961374</v>
      </c>
      <c r="H39">
        <f t="shared" si="2"/>
        <v>2.377375299034673E-2</v>
      </c>
      <c r="I39" s="22">
        <f t="shared" si="3"/>
        <v>0.93597503260524983</v>
      </c>
      <c r="K39">
        <f>SQRT('Combustion Analysis'!$B$58*'Combustion Analysis'!$B$69*'Solution of Isentropic Expansio'!C39)</f>
        <v>1104.3031055707693</v>
      </c>
    </row>
    <row r="40" spans="1:11" x14ac:dyDescent="0.3">
      <c r="A40">
        <v>1950</v>
      </c>
      <c r="B40">
        <f t="shared" si="0"/>
        <v>1950000</v>
      </c>
      <c r="C40">
        <f>'Engine Requirements'!$G$62*(B40/'Engine Requirements'!$K$62)^(('Combustion Analysis'!$B$58-1)/'Combustion Analysis'!$B$58)</f>
        <v>2975.865469307967</v>
      </c>
      <c r="D40">
        <f>'Engine Requirements'!$J$62*('Engine Requirements'!$K$62/B40)^(1/'Combustion Analysis'!$B$58)</f>
        <v>0.47354267252210713</v>
      </c>
      <c r="E40">
        <f>SQRT(((2*'Combustion Analysis'!$B$58)/('Combustion Analysis'!$B$58-1))*'Combustion Analysis'!$B$69*'Engine Requirements'!$G$62*(1-('Solution of Isentropic Expansio'!B40/'Engine Requirements'!$K$62)^(('Combustion Analysis'!$B$58-1)/'Combustion Analysis'!$B$58)))</f>
        <v>549.56563939158127</v>
      </c>
      <c r="F40">
        <f>('Engine Requirements'!$B$24*'Solution of Isentropic Expansio'!D40)/'Solution of Isentropic Expansio'!E40</f>
        <v>4.6850414187948419E-4</v>
      </c>
      <c r="G40">
        <f t="shared" si="1"/>
        <v>0.72618141991320051</v>
      </c>
      <c r="H40">
        <f t="shared" si="2"/>
        <v>2.4423717987095507E-2</v>
      </c>
      <c r="I40" s="22">
        <f t="shared" si="3"/>
        <v>0.96156421952374882</v>
      </c>
      <c r="K40">
        <f>SQRT('Combustion Analysis'!$B$58*'Combustion Analysis'!$B$69*'Solution of Isentropic Expansio'!C40)</f>
        <v>1107.8606321096242</v>
      </c>
    </row>
    <row r="41" spans="1:11" x14ac:dyDescent="0.3">
      <c r="A41">
        <v>2000</v>
      </c>
      <c r="B41">
        <f t="shared" si="0"/>
        <v>2000000</v>
      </c>
      <c r="C41">
        <f>'Engine Requirements'!$G$62*(B41/'Engine Requirements'!$K$62)^(('Combustion Analysis'!$B$58-1)/'Combustion Analysis'!$B$58)</f>
        <v>2994.5821630216933</v>
      </c>
      <c r="D41">
        <f>'Engine Requirements'!$J$62*('Engine Requirements'!$K$62/B41)^(1/'Combustion Analysis'!$B$58)</f>
        <v>0.46460799179599366</v>
      </c>
      <c r="E41">
        <f>SQRT(((2*'Combustion Analysis'!$B$58)/('Combustion Analysis'!$B$58-1))*'Combustion Analysis'!$B$69*'Engine Requirements'!$G$62*(1-('Solution of Isentropic Expansio'!B41/'Engine Requirements'!$K$62)^(('Combustion Analysis'!$B$58-1)/'Combustion Analysis'!$B$58)))</f>
        <v>505.09223119685146</v>
      </c>
      <c r="F41">
        <f>('Engine Requirements'!$B$24*'Solution of Isentropic Expansio'!D41)/'Solution of Isentropic Expansio'!E41</f>
        <v>5.0013802232456159E-4</v>
      </c>
      <c r="G41">
        <f t="shared" si="1"/>
        <v>0.77521393460307042</v>
      </c>
      <c r="H41">
        <f t="shared" si="2"/>
        <v>2.5234807466063013E-2</v>
      </c>
      <c r="I41" s="22">
        <f t="shared" si="3"/>
        <v>0.99349689341964742</v>
      </c>
      <c r="K41">
        <f>SQRT('Combustion Analysis'!$B$58*'Combustion Analysis'!$B$69*'Solution of Isentropic Expansio'!C41)</f>
        <v>1111.339113669047</v>
      </c>
    </row>
    <row r="42" spans="1:11" x14ac:dyDescent="0.3">
      <c r="A42">
        <v>2050</v>
      </c>
      <c r="B42">
        <f t="shared" si="0"/>
        <v>2050000</v>
      </c>
      <c r="C42">
        <f>'Engine Requirements'!$G$62*(B42/'Engine Requirements'!$K$62)^(('Combustion Analysis'!$B$58-1)/'Combustion Analysis'!$B$58)</f>
        <v>3012.9500567944096</v>
      </c>
      <c r="D42">
        <f>'Engine Requirements'!$J$62*('Engine Requirements'!$K$62/B42)^(1/'Combustion Analysis'!$B$58)</f>
        <v>0.45605635291584407</v>
      </c>
      <c r="E42">
        <f>SQRT(((2*'Combustion Analysis'!$B$58)/('Combustion Analysis'!$B$58-1))*'Combustion Analysis'!$B$69*'Engine Requirements'!$G$62*(1-('Solution of Isentropic Expansio'!B42/'Engine Requirements'!$K$62)^(('Combustion Analysis'!$B$58-1)/'Combustion Analysis'!$B$58)))</f>
        <v>457.26144417293489</v>
      </c>
      <c r="F42">
        <f>('Engine Requirements'!$B$24*'Solution of Isentropic Expansio'!D42)/'Solution of Isentropic Expansio'!E42</f>
        <v>5.4228527444204167E-4</v>
      </c>
      <c r="G42">
        <f t="shared" si="1"/>
        <v>0.84054217538516462</v>
      </c>
      <c r="H42">
        <f t="shared" si="2"/>
        <v>2.6276587600888513E-2</v>
      </c>
      <c r="I42" s="22">
        <f t="shared" si="3"/>
        <v>1.0345118815057408</v>
      </c>
      <c r="K42">
        <f>SQRT('Combustion Analysis'!$B$58*'Combustion Analysis'!$B$69*'Solution of Isentropic Expansio'!C42)</f>
        <v>1114.7422182631346</v>
      </c>
    </row>
    <row r="43" spans="1:11" x14ac:dyDescent="0.3">
      <c r="A43">
        <v>2100</v>
      </c>
      <c r="B43">
        <f t="shared" si="0"/>
        <v>2100000</v>
      </c>
      <c r="C43">
        <f>'Engine Requirements'!$G$62*(B43/'Engine Requirements'!$K$62)^(('Combustion Analysis'!$B$58-1)/'Combustion Analysis'!$B$58)</f>
        <v>3030.9839254599606</v>
      </c>
      <c r="D43">
        <f>'Engine Requirements'!$J$62*('Engine Requirements'!$K$62/B43)^(1/'Combustion Analysis'!$B$58)</f>
        <v>0.44786257890067183</v>
      </c>
      <c r="E43">
        <f>SQRT(((2*'Combustion Analysis'!$B$58)/('Combustion Analysis'!$B$58-1))*'Combustion Analysis'!$B$69*'Engine Requirements'!$G$62*(1-('Solution of Isentropic Expansio'!B43/'Engine Requirements'!$K$62)^(('Combustion Analysis'!$B$58-1)/'Combustion Analysis'!$B$58)))</f>
        <v>404.83943119096006</v>
      </c>
      <c r="F43">
        <f>('Engine Requirements'!$B$24*'Solution of Isentropic Expansio'!D43)/'Solution of Isentropic Expansio'!E43</f>
        <v>6.0150031042767547E-4</v>
      </c>
      <c r="G43">
        <f t="shared" si="1"/>
        <v>0.93232548116289693</v>
      </c>
      <c r="H43">
        <f t="shared" si="2"/>
        <v>2.7674066947360531E-2</v>
      </c>
      <c r="I43" s="22">
        <f t="shared" si="3"/>
        <v>1.0895307831242789</v>
      </c>
      <c r="K43">
        <f>SQRT('Combustion Analysis'!$B$58*'Combustion Analysis'!$B$69*'Solution of Isentropic Expansio'!C43)</f>
        <v>1118.0733592568279</v>
      </c>
    </row>
    <row r="44" spans="1:11" x14ac:dyDescent="0.3">
      <c r="A44">
        <v>2150</v>
      </c>
      <c r="B44">
        <f t="shared" si="0"/>
        <v>2150000</v>
      </c>
      <c r="C44">
        <f>'Engine Requirements'!$G$62*(B44/'Engine Requirements'!$K$62)^(('Combustion Analysis'!$B$58-1)/'Combustion Analysis'!$B$58)</f>
        <v>3048.6975840029054</v>
      </c>
      <c r="D44">
        <f>'Engine Requirements'!$J$62*('Engine Requirements'!$K$62/B44)^(1/'Combustion Analysis'!$B$58)</f>
        <v>0.44000369628385422</v>
      </c>
      <c r="E44">
        <f>SQRT(((2*'Combustion Analysis'!$B$58)/('Combustion Analysis'!$B$58-1))*'Combustion Analysis'!$B$69*'Engine Requirements'!$G$62*(1-('Solution of Isentropic Expansio'!B44/'Engine Requirements'!$K$62)^(('Combustion Analysis'!$B$58-1)/'Combustion Analysis'!$B$58)))</f>
        <v>345.69401452655677</v>
      </c>
      <c r="F44">
        <f>('Engine Requirements'!$B$24*'Solution of Isentropic Expansio'!D44)/'Solution of Isentropic Expansio'!E44</f>
        <v>6.9205139755318195E-4</v>
      </c>
      <c r="G44">
        <f t="shared" si="1"/>
        <v>1.072679666207432</v>
      </c>
      <c r="H44">
        <f t="shared" si="2"/>
        <v>2.9684123809773238E-2</v>
      </c>
      <c r="I44" s="22">
        <f t="shared" si="3"/>
        <v>1.1686669228031534</v>
      </c>
      <c r="K44">
        <f>SQRT('Combustion Analysis'!$B$58*'Combustion Analysis'!$B$69*'Solution of Isentropic Expansio'!C44)</f>
        <v>1121.3357186310529</v>
      </c>
    </row>
    <row r="45" spans="1:11" x14ac:dyDescent="0.3">
      <c r="A45">
        <v>2200</v>
      </c>
      <c r="B45">
        <f t="shared" si="0"/>
        <v>2200000</v>
      </c>
      <c r="C45">
        <f>'Engine Requirements'!$G$62*(B45/'Engine Requirements'!$K$62)^(('Combustion Analysis'!$B$58-1)/'Combustion Analysis'!$B$58)</f>
        <v>3066.1039706153097</v>
      </c>
      <c r="D45">
        <f>'Engine Requirements'!$J$62*('Engine Requirements'!$K$62/B45)^(1/'Combustion Analysis'!$B$58)</f>
        <v>0.43245869642851892</v>
      </c>
      <c r="E45">
        <f>SQRT(((2*'Combustion Analysis'!$B$58)/('Combustion Analysis'!$B$58-1))*'Combustion Analysis'!$B$69*'Engine Requirements'!$G$62*(1-('Solution of Isentropic Expansio'!B45/'Engine Requirements'!$K$62)^(('Combustion Analysis'!$B$58-1)/'Combustion Analysis'!$B$58)))</f>
        <v>275.47008000876031</v>
      </c>
      <c r="F45">
        <f>('Engine Requirements'!$B$24*'Solution of Isentropic Expansio'!D45)/'Solution of Isentropic Expansio'!E45</f>
        <v>8.5357971359879077E-4</v>
      </c>
      <c r="G45">
        <f t="shared" si="1"/>
        <v>1.3230485560781258</v>
      </c>
      <c r="H45">
        <f t="shared" si="2"/>
        <v>3.2966823412905515E-2</v>
      </c>
      <c r="I45" s="22">
        <f t="shared" si="3"/>
        <v>1.2979071344484314</v>
      </c>
      <c r="K45">
        <f>SQRT('Combustion Analysis'!$B$58*'Combustion Analysis'!$B$69*'Solution of Isentropic Expansio'!C45)</f>
        <v>1124.532267635404</v>
      </c>
    </row>
    <row r="46" spans="1:11" x14ac:dyDescent="0.3">
      <c r="A46">
        <v>2250</v>
      </c>
      <c r="B46">
        <f t="shared" si="0"/>
        <v>2250000</v>
      </c>
      <c r="C46">
        <f>'Engine Requirements'!$G$62*(B46/'Engine Requirements'!$K$62)^(('Combustion Analysis'!$B$58-1)/'Combustion Analysis'!$B$58)</f>
        <v>3083.2152208559214</v>
      </c>
      <c r="D46">
        <f>'Engine Requirements'!$J$62*('Engine Requirements'!$K$62/B46)^(1/'Combustion Analysis'!$B$58)</f>
        <v>0.42520832744047055</v>
      </c>
      <c r="E46">
        <f>SQRT(((2*'Combustion Analysis'!$B$58)/('Combustion Analysis'!$B$58-1))*'Combustion Analysis'!$B$69*'Engine Requirements'!$G$62*(1-('Solution of Isentropic Expansio'!B46/'Engine Requirements'!$K$62)^(('Combustion Analysis'!$B$58-1)/'Combustion Analysis'!$B$58)))</f>
        <v>181.66670886998952</v>
      </c>
      <c r="F46">
        <f>('Engine Requirements'!$B$24*'Solution of Isentropic Expansio'!D46)/'Solution of Isentropic Expansio'!E46</f>
        <v>1.2726245536527326E-3</v>
      </c>
      <c r="G46">
        <f t="shared" si="1"/>
        <v>1.9725680581617355</v>
      </c>
      <c r="H46">
        <f t="shared" si="2"/>
        <v>4.0253644646312398E-2</v>
      </c>
      <c r="I46" s="22">
        <f t="shared" si="3"/>
        <v>1.5847900150897838</v>
      </c>
      <c r="K46">
        <f>SQRT('Combustion Analysis'!$B$58*'Combustion Analysis'!$B$69*'Solution of Isentropic Expansio'!C46)</f>
        <v>1127.6657851739465</v>
      </c>
    </row>
    <row r="47" spans="1:11" x14ac:dyDescent="0.3">
      <c r="A47">
        <v>2300</v>
      </c>
      <c r="B47">
        <f t="shared" si="0"/>
        <v>2300000</v>
      </c>
      <c r="C47">
        <f>'Engine Requirements'!$G$62*(B47/'Engine Requirements'!$K$62)^(('Combustion Analysis'!$B$58-1)/'Combustion Analysis'!$B$58)</f>
        <v>3100.0427340400902</v>
      </c>
      <c r="D47">
        <f>'Engine Requirements'!$J$62*('Engine Requirements'!$K$62/B47)^(1/'Combustion Analysis'!$B$58)</f>
        <v>0.41823491217473829</v>
      </c>
      <c r="E47" t="e">
        <f>SQRT(((2*'Combustion Analysis'!$B$58)/('Combustion Analysis'!$B$58-1))*'Combustion Analysis'!$B$69*'Engine Requirements'!$G$62*(1-('Solution of Isentropic Expansio'!B47/'Engine Requirements'!$K$62)^(('Combustion Analysis'!$B$58-1)/'Combustion Analysis'!$B$58)))</f>
        <v>#NUM!</v>
      </c>
      <c r="F47" t="e">
        <f>('Engine Requirements'!$B$24*'Solution of Isentropic Expansio'!D47)/'Solution of Isentropic Expansio'!E47</f>
        <v>#NUM!</v>
      </c>
      <c r="G47" t="e">
        <f t="shared" si="1"/>
        <v>#NUM!</v>
      </c>
      <c r="H47" t="e">
        <f t="shared" si="2"/>
        <v>#NUM!</v>
      </c>
      <c r="I47" s="22" t="e">
        <f t="shared" si="3"/>
        <v>#NUM!</v>
      </c>
    </row>
    <row r="48" spans="1:11" x14ac:dyDescent="0.3">
      <c r="I48" s="22"/>
    </row>
    <row r="50" spans="3:7" x14ac:dyDescent="0.3">
      <c r="C50" t="s">
        <v>382</v>
      </c>
      <c r="D50">
        <f>AVERAGE(D2:D25)</f>
        <v>1.5654330863554593</v>
      </c>
    </row>
    <row r="51" spans="3:7" x14ac:dyDescent="0.3">
      <c r="C51" t="s">
        <v>539</v>
      </c>
      <c r="D51">
        <f>'Engine Requirements'!D18/('Engine Requirements'!B8*'Solution of Isentropic Expansio'!D50)</f>
        <v>4.4208308233882571E-4</v>
      </c>
      <c r="E51" t="s">
        <v>26</v>
      </c>
      <c r="F51">
        <f>D51*1000</f>
        <v>0.44208308233882571</v>
      </c>
      <c r="G51" t="s">
        <v>384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"/>
  <sheetViews>
    <sheetView workbookViewId="0">
      <selection activeCell="F18" sqref="F18"/>
    </sheetView>
  </sheetViews>
  <sheetFormatPr defaultRowHeight="14.4" x14ac:dyDescent="0.3"/>
  <cols>
    <col min="1" max="1" width="24.33203125" bestFit="1" customWidth="1"/>
    <col min="3" max="3" width="6.44140625" bestFit="1" customWidth="1"/>
    <col min="11" max="11" width="16.33203125" bestFit="1" customWidth="1"/>
  </cols>
  <sheetData>
    <row r="1" spans="1:13" x14ac:dyDescent="0.3">
      <c r="A1" t="s">
        <v>540</v>
      </c>
      <c r="B1">
        <v>41.94</v>
      </c>
      <c r="C1" t="s">
        <v>541</v>
      </c>
    </row>
    <row r="2" spans="1:13" x14ac:dyDescent="0.3">
      <c r="A2" t="s">
        <v>542</v>
      </c>
      <c r="B2">
        <v>30</v>
      </c>
      <c r="C2" t="s">
        <v>541</v>
      </c>
    </row>
    <row r="3" spans="1:13" x14ac:dyDescent="0.3">
      <c r="A3" s="1" t="s">
        <v>543</v>
      </c>
      <c r="B3">
        <f>AVERAGE(B1,B6)</f>
        <v>26.212499999999999</v>
      </c>
      <c r="C3" t="s">
        <v>63</v>
      </c>
    </row>
    <row r="4" spans="1:13" x14ac:dyDescent="0.3">
      <c r="A4" s="1" t="s">
        <v>544</v>
      </c>
      <c r="B4">
        <v>88.04</v>
      </c>
      <c r="C4" t="s">
        <v>541</v>
      </c>
    </row>
    <row r="5" spans="1:13" x14ac:dyDescent="0.3">
      <c r="A5" s="1" t="s">
        <v>389</v>
      </c>
      <c r="B5">
        <f>(PI()*(B1^2)*B2)+(PI()*(B3^2)*B4)</f>
        <v>355819.18901147088</v>
      </c>
      <c r="C5" t="s">
        <v>545</v>
      </c>
      <c r="D5">
        <f>B5/1000000000</f>
        <v>3.5581918901147087E-4</v>
      </c>
      <c r="E5" t="s">
        <v>66</v>
      </c>
    </row>
    <row r="6" spans="1:13" x14ac:dyDescent="0.3">
      <c r="A6" s="1" t="s">
        <v>546</v>
      </c>
      <c r="B6">
        <v>10.484999999999999</v>
      </c>
      <c r="C6" t="s">
        <v>541</v>
      </c>
    </row>
    <row r="7" spans="1:13" x14ac:dyDescent="0.3">
      <c r="A7" s="1" t="s">
        <v>548</v>
      </c>
      <c r="B7">
        <f>(PI())*(B6^2)</f>
        <v>345.37169523074095</v>
      </c>
      <c r="C7" t="s">
        <v>549</v>
      </c>
    </row>
    <row r="8" spans="1:13" x14ac:dyDescent="0.3">
      <c r="A8" s="1" t="s">
        <v>547</v>
      </c>
      <c r="B8">
        <f>B5/(B7)</f>
        <v>1030.25</v>
      </c>
      <c r="C8" t="s">
        <v>541</v>
      </c>
      <c r="D8">
        <f>B8/1000</f>
        <v>1.0302500000000001</v>
      </c>
      <c r="E8" t="s">
        <v>53</v>
      </c>
    </row>
    <row r="12" spans="1:13" ht="15" thickBot="1" x14ac:dyDescent="0.35">
      <c r="A12" s="10" t="s">
        <v>138</v>
      </c>
    </row>
    <row r="13" spans="1:13" ht="15.6" thickTop="1" thickBot="1" x14ac:dyDescent="0.35">
      <c r="A13" t="s">
        <v>142</v>
      </c>
      <c r="B13" s="11">
        <f>D13*6.8948</f>
        <v>179.26480000000001</v>
      </c>
      <c r="C13" t="s">
        <v>144</v>
      </c>
      <c r="D13">
        <v>26</v>
      </c>
      <c r="E13" t="s">
        <v>147</v>
      </c>
      <c r="F13" t="s">
        <v>145</v>
      </c>
      <c r="G13" t="s">
        <v>155</v>
      </c>
    </row>
    <row r="14" spans="1:13" ht="15.6" thickTop="1" thickBot="1" x14ac:dyDescent="0.35">
      <c r="A14" t="s">
        <v>139</v>
      </c>
      <c r="B14" s="11">
        <f>D14*6.8948</f>
        <v>503.32040000000001</v>
      </c>
      <c r="C14" t="s">
        <v>143</v>
      </c>
      <c r="D14">
        <v>73</v>
      </c>
      <c r="E14" t="s">
        <v>147</v>
      </c>
      <c r="F14" t="s">
        <v>145</v>
      </c>
      <c r="G14" t="s">
        <v>155</v>
      </c>
      <c r="K14" t="s">
        <v>550</v>
      </c>
      <c r="L14">
        <f>'Engine Requirements'!D2</f>
        <v>2289060.3200000003</v>
      </c>
      <c r="M14" t="s">
        <v>148</v>
      </c>
    </row>
    <row r="15" spans="1:13" ht="15" thickTop="1" x14ac:dyDescent="0.3">
      <c r="A15" t="s">
        <v>327</v>
      </c>
      <c r="B15">
        <v>8.3879999999999996E-2</v>
      </c>
      <c r="C15" t="s">
        <v>53</v>
      </c>
      <c r="K15" t="s">
        <v>156</v>
      </c>
      <c r="L15">
        <f>L14*1.5</f>
        <v>3433590.4800000004</v>
      </c>
      <c r="M15" t="s">
        <v>148</v>
      </c>
    </row>
    <row r="16" spans="1:13" x14ac:dyDescent="0.3">
      <c r="A16" t="s">
        <v>151</v>
      </c>
      <c r="B16">
        <f>D16*0.0254</f>
        <v>6.3499999999999997E-3</v>
      </c>
      <c r="C16" t="s">
        <v>53</v>
      </c>
      <c r="D16">
        <v>0.25</v>
      </c>
      <c r="E16" t="s">
        <v>63</v>
      </c>
      <c r="K16" t="s">
        <v>551</v>
      </c>
      <c r="L16">
        <f>L14*2.5</f>
        <v>5722650.8000000007</v>
      </c>
      <c r="M16" t="s">
        <v>148</v>
      </c>
    </row>
    <row r="17" spans="1:5" x14ac:dyDescent="0.3">
      <c r="A17" t="s">
        <v>162</v>
      </c>
      <c r="B17">
        <f>(B15*L14)/(2*B16)</f>
        <v>15118612.570204725</v>
      </c>
      <c r="C17" t="s">
        <v>148</v>
      </c>
      <c r="D17">
        <f>B17/1000000</f>
        <v>15.118612570204725</v>
      </c>
      <c r="E17" t="s">
        <v>143</v>
      </c>
    </row>
    <row r="18" spans="1:5" x14ac:dyDescent="0.3">
      <c r="A18" t="s">
        <v>158</v>
      </c>
      <c r="B18">
        <f>B13/D17</f>
        <v>11.857225599741163</v>
      </c>
      <c r="C18" t="s">
        <v>152</v>
      </c>
    </row>
    <row r="19" spans="1:5" x14ac:dyDescent="0.3">
      <c r="A19" t="s">
        <v>159</v>
      </c>
      <c r="B19">
        <f>B18-1</f>
        <v>10.857225599741163</v>
      </c>
      <c r="C19" t="s">
        <v>152</v>
      </c>
    </row>
    <row r="20" spans="1:5" x14ac:dyDescent="0.3">
      <c r="A20" t="s">
        <v>163</v>
      </c>
      <c r="B20">
        <f>(B15*L15)/(2*B16)</f>
        <v>22677918.855307091</v>
      </c>
      <c r="C20" t="s">
        <v>148</v>
      </c>
      <c r="D20">
        <f>B20/1000000</f>
        <v>22.677918855307091</v>
      </c>
      <c r="E20" t="s">
        <v>143</v>
      </c>
    </row>
    <row r="21" spans="1:5" x14ac:dyDescent="0.3">
      <c r="A21" t="s">
        <v>153</v>
      </c>
      <c r="B21">
        <f>B13/D20</f>
        <v>7.9048170664941075</v>
      </c>
      <c r="C21" t="s">
        <v>152</v>
      </c>
    </row>
    <row r="22" spans="1:5" x14ac:dyDescent="0.3">
      <c r="A22" t="s">
        <v>154</v>
      </c>
      <c r="B22">
        <f>B21-1</f>
        <v>6.9048170664941075</v>
      </c>
      <c r="C22" t="s">
        <v>152</v>
      </c>
    </row>
    <row r="23" spans="1:5" x14ac:dyDescent="0.3">
      <c r="A23" t="s">
        <v>164</v>
      </c>
      <c r="B23">
        <f>(B15*L16)/(2*B16)</f>
        <v>37796531.425511815</v>
      </c>
      <c r="C23" t="s">
        <v>148</v>
      </c>
      <c r="D23">
        <f>B23/1000000</f>
        <v>37.796531425511816</v>
      </c>
      <c r="E23" t="s">
        <v>143</v>
      </c>
    </row>
    <row r="24" spans="1:5" x14ac:dyDescent="0.3">
      <c r="A24" t="s">
        <v>160</v>
      </c>
      <c r="B24">
        <f>B14/D23</f>
        <v>13.316576442786229</v>
      </c>
      <c r="C24" t="s">
        <v>152</v>
      </c>
    </row>
    <row r="25" spans="1:5" x14ac:dyDescent="0.3">
      <c r="A25" t="s">
        <v>161</v>
      </c>
      <c r="B25">
        <f>B24-1</f>
        <v>12.316576442786229</v>
      </c>
      <c r="C25" t="s">
        <v>152</v>
      </c>
    </row>
  </sheetData>
  <conditionalFormatting sqref="B19 B22 B2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5"/>
  <sheetViews>
    <sheetView workbookViewId="0">
      <selection activeCell="A134" sqref="A134"/>
    </sheetView>
  </sheetViews>
  <sheetFormatPr defaultRowHeight="14.4" x14ac:dyDescent="0.3"/>
  <cols>
    <col min="1" max="1" width="38.109375" customWidth="1"/>
    <col min="2" max="2" width="11.109375" bestFit="1" customWidth="1"/>
    <col min="5" max="5" width="10.5546875" style="3" bestFit="1" customWidth="1"/>
    <col min="6" max="6" width="11.44140625" style="3" bestFit="1" customWidth="1"/>
    <col min="7" max="7" width="10.5546875" bestFit="1" customWidth="1"/>
    <col min="8" max="8" width="19.6640625" customWidth="1"/>
    <col min="9" max="9" width="17.109375" customWidth="1"/>
    <col min="10" max="10" width="15.109375" bestFit="1" customWidth="1"/>
  </cols>
  <sheetData>
    <row r="1" spans="1:11" s="1" customFormat="1" x14ac:dyDescent="0.3">
      <c r="A1" s="1" t="s">
        <v>43</v>
      </c>
      <c r="B1" s="1" t="s">
        <v>98</v>
      </c>
      <c r="C1" s="1" t="s">
        <v>39</v>
      </c>
      <c r="D1" s="1" t="s">
        <v>40</v>
      </c>
      <c r="E1" s="2" t="s">
        <v>42</v>
      </c>
      <c r="F1" s="2" t="s">
        <v>41</v>
      </c>
      <c r="G1" s="1" t="s">
        <v>191</v>
      </c>
      <c r="H1" s="1" t="s">
        <v>109</v>
      </c>
      <c r="I1" s="1" t="s">
        <v>88</v>
      </c>
      <c r="J1" s="1" t="s">
        <v>99</v>
      </c>
    </row>
    <row r="2" spans="1:11" s="1" customFormat="1" x14ac:dyDescent="0.3">
      <c r="E2" s="2"/>
      <c r="F2" s="2"/>
    </row>
    <row r="3" spans="1:11" s="1" customFormat="1" x14ac:dyDescent="0.3">
      <c r="A3" s="10" t="s">
        <v>80</v>
      </c>
      <c r="E3" s="2"/>
      <c r="F3" s="2"/>
    </row>
    <row r="4" spans="1:11" s="1" customFormat="1" x14ac:dyDescent="0.3">
      <c r="A4" s="1" t="s">
        <v>182</v>
      </c>
      <c r="E4" s="2"/>
      <c r="F4" s="2"/>
    </row>
    <row r="5" spans="1:11" x14ac:dyDescent="0.3">
      <c r="A5" t="s">
        <v>68</v>
      </c>
      <c r="D5">
        <v>0</v>
      </c>
      <c r="E5" s="3">
        <v>5.25</v>
      </c>
      <c r="F5" s="3">
        <f>D5*E5</f>
        <v>0</v>
      </c>
    </row>
    <row r="6" spans="1:11" x14ac:dyDescent="0.3">
      <c r="A6" t="s">
        <v>397</v>
      </c>
      <c r="B6" t="s">
        <v>395</v>
      </c>
      <c r="C6" t="s">
        <v>85</v>
      </c>
      <c r="D6">
        <v>2</v>
      </c>
      <c r="E6">
        <v>9.81</v>
      </c>
      <c r="F6">
        <f>E6*D6</f>
        <v>19.62</v>
      </c>
      <c r="I6" t="s">
        <v>396</v>
      </c>
      <c r="J6" t="s">
        <v>394</v>
      </c>
    </row>
    <row r="7" spans="1:11" x14ac:dyDescent="0.3">
      <c r="A7" t="s">
        <v>397</v>
      </c>
      <c r="B7" t="s">
        <v>395</v>
      </c>
      <c r="C7" t="s">
        <v>85</v>
      </c>
      <c r="D7">
        <v>7</v>
      </c>
      <c r="E7">
        <v>2.76</v>
      </c>
      <c r="F7">
        <f>E7*D7</f>
        <v>19.32</v>
      </c>
      <c r="I7" t="s">
        <v>396</v>
      </c>
      <c r="J7" t="s">
        <v>393</v>
      </c>
    </row>
    <row r="8" spans="1:11" x14ac:dyDescent="0.3">
      <c r="A8" t="s">
        <v>402</v>
      </c>
      <c r="B8" t="s">
        <v>401</v>
      </c>
      <c r="C8" t="s">
        <v>400</v>
      </c>
      <c r="E8"/>
      <c r="F8"/>
    </row>
    <row r="9" spans="1:11" x14ac:dyDescent="0.3">
      <c r="A9" t="s">
        <v>403</v>
      </c>
      <c r="E9"/>
      <c r="F9"/>
    </row>
    <row r="10" spans="1:11" x14ac:dyDescent="0.3">
      <c r="A10" s="1"/>
      <c r="F10" s="3">
        <f>D10*E10</f>
        <v>0</v>
      </c>
    </row>
    <row r="11" spans="1:11" x14ac:dyDescent="0.3">
      <c r="A11" s="1" t="s">
        <v>185</v>
      </c>
      <c r="F11" s="3">
        <f>D11*E11</f>
        <v>0</v>
      </c>
    </row>
    <row r="12" spans="1:11" x14ac:dyDescent="0.3">
      <c r="A12" t="s">
        <v>498</v>
      </c>
      <c r="B12" t="s">
        <v>502</v>
      </c>
      <c r="C12" t="s">
        <v>95</v>
      </c>
      <c r="D12">
        <v>1</v>
      </c>
      <c r="E12" s="3">
        <v>222.46</v>
      </c>
      <c r="F12" s="3">
        <f>E12*D12</f>
        <v>222.46</v>
      </c>
      <c r="H12">
        <v>500</v>
      </c>
      <c r="I12" t="s">
        <v>499</v>
      </c>
      <c r="J12" t="s">
        <v>112</v>
      </c>
      <c r="K12" t="s">
        <v>500</v>
      </c>
    </row>
    <row r="13" spans="1:11" x14ac:dyDescent="0.3">
      <c r="A13" t="s">
        <v>186</v>
      </c>
      <c r="C13" t="s">
        <v>188</v>
      </c>
      <c r="D13">
        <v>1</v>
      </c>
      <c r="E13" s="3">
        <v>84.95</v>
      </c>
      <c r="F13" s="3">
        <f t="shared" ref="F13:F21" si="0">D13*E13</f>
        <v>84.95</v>
      </c>
      <c r="G13">
        <v>10</v>
      </c>
      <c r="H13">
        <v>2216</v>
      </c>
    </row>
    <row r="14" spans="1:11" x14ac:dyDescent="0.3">
      <c r="A14" t="s">
        <v>187</v>
      </c>
      <c r="C14" t="s">
        <v>188</v>
      </c>
      <c r="D14">
        <v>1</v>
      </c>
      <c r="E14" s="3">
        <v>69.900000000000006</v>
      </c>
      <c r="F14" s="3">
        <f t="shared" si="0"/>
        <v>69.900000000000006</v>
      </c>
      <c r="G14">
        <v>16</v>
      </c>
      <c r="H14">
        <v>2015</v>
      </c>
    </row>
    <row r="15" spans="1:11" x14ac:dyDescent="0.3">
      <c r="A15" t="s">
        <v>189</v>
      </c>
      <c r="C15" t="s">
        <v>188</v>
      </c>
      <c r="D15">
        <v>1</v>
      </c>
      <c r="E15" s="3">
        <v>34.9</v>
      </c>
      <c r="F15" s="3">
        <f t="shared" si="0"/>
        <v>34.9</v>
      </c>
      <c r="G15">
        <v>12</v>
      </c>
      <c r="H15">
        <v>2015</v>
      </c>
    </row>
    <row r="16" spans="1:11" x14ac:dyDescent="0.3">
      <c r="A16" t="s">
        <v>332</v>
      </c>
      <c r="B16" s="26" t="s">
        <v>334</v>
      </c>
      <c r="C16" t="s">
        <v>333</v>
      </c>
      <c r="D16">
        <v>1</v>
      </c>
      <c r="E16" s="3">
        <v>202.86</v>
      </c>
      <c r="F16" s="3">
        <f t="shared" si="0"/>
        <v>202.86</v>
      </c>
      <c r="H16">
        <v>500</v>
      </c>
      <c r="J16" t="s">
        <v>335</v>
      </c>
    </row>
    <row r="17" spans="1:10" x14ac:dyDescent="0.3">
      <c r="A17" t="s">
        <v>336</v>
      </c>
      <c r="B17" s="26" t="s">
        <v>337</v>
      </c>
      <c r="C17" t="s">
        <v>333</v>
      </c>
      <c r="D17">
        <v>1</v>
      </c>
      <c r="E17" s="3">
        <v>213.11</v>
      </c>
      <c r="F17" s="3">
        <f t="shared" si="0"/>
        <v>213.11</v>
      </c>
      <c r="H17">
        <v>500</v>
      </c>
    </row>
    <row r="18" spans="1:10" x14ac:dyDescent="0.3">
      <c r="A18" t="s">
        <v>497</v>
      </c>
      <c r="B18" s="26"/>
      <c r="C18" t="s">
        <v>197</v>
      </c>
      <c r="D18">
        <v>1</v>
      </c>
      <c r="E18" s="3">
        <v>398</v>
      </c>
      <c r="F18" s="3">
        <f t="shared" si="0"/>
        <v>398</v>
      </c>
    </row>
    <row r="19" spans="1:10" x14ac:dyDescent="0.3">
      <c r="A19" t="s">
        <v>338</v>
      </c>
      <c r="B19" s="26" t="s">
        <v>339</v>
      </c>
      <c r="C19" t="s">
        <v>333</v>
      </c>
      <c r="D19">
        <v>1</v>
      </c>
      <c r="E19" s="3">
        <v>322.86</v>
      </c>
      <c r="F19" s="3">
        <f t="shared" si="0"/>
        <v>322.86</v>
      </c>
      <c r="H19">
        <v>500</v>
      </c>
    </row>
    <row r="20" spans="1:10" x14ac:dyDescent="0.3">
      <c r="A20" t="s">
        <v>96</v>
      </c>
      <c r="B20" t="s">
        <v>100</v>
      </c>
      <c r="C20" t="s">
        <v>95</v>
      </c>
      <c r="D20">
        <v>1</v>
      </c>
      <c r="E20" s="3">
        <v>4.79</v>
      </c>
      <c r="F20" s="3">
        <f t="shared" si="0"/>
        <v>4.79</v>
      </c>
      <c r="I20" t="s">
        <v>97</v>
      </c>
      <c r="J20" t="s">
        <v>444</v>
      </c>
    </row>
    <row r="21" spans="1:10" x14ac:dyDescent="0.3">
      <c r="A21" t="s">
        <v>343</v>
      </c>
      <c r="B21" s="26" t="s">
        <v>340</v>
      </c>
      <c r="C21" t="s">
        <v>333</v>
      </c>
      <c r="D21">
        <v>1</v>
      </c>
      <c r="E21" s="3">
        <v>131.35</v>
      </c>
      <c r="F21" s="3">
        <f t="shared" si="0"/>
        <v>131.35</v>
      </c>
      <c r="G21">
        <v>9.6</v>
      </c>
      <c r="H21">
        <v>2015</v>
      </c>
      <c r="I21" t="s">
        <v>341</v>
      </c>
      <c r="J21" t="s">
        <v>342</v>
      </c>
    </row>
    <row r="22" spans="1:10" x14ac:dyDescent="0.3">
      <c r="A22" s="1"/>
    </row>
    <row r="23" spans="1:10" x14ac:dyDescent="0.3">
      <c r="A23" s="1" t="s">
        <v>184</v>
      </c>
    </row>
    <row r="24" spans="1:10" x14ac:dyDescent="0.3">
      <c r="A24" t="s">
        <v>180</v>
      </c>
      <c r="E24" s="3">
        <v>178</v>
      </c>
      <c r="F24" s="3">
        <f>D24*E24</f>
        <v>0</v>
      </c>
      <c r="I24" t="s">
        <v>90</v>
      </c>
      <c r="J24" t="s">
        <v>181</v>
      </c>
    </row>
    <row r="25" spans="1:10" x14ac:dyDescent="0.3">
      <c r="A25" t="s">
        <v>178</v>
      </c>
      <c r="E25" s="3">
        <v>570</v>
      </c>
      <c r="F25" s="3">
        <f>D25*E25</f>
        <v>0</v>
      </c>
      <c r="J25" t="s">
        <v>179</v>
      </c>
    </row>
    <row r="26" spans="1:10" x14ac:dyDescent="0.3">
      <c r="A26" t="s">
        <v>385</v>
      </c>
      <c r="B26" t="s">
        <v>82</v>
      </c>
      <c r="C26" t="s">
        <v>386</v>
      </c>
      <c r="D26">
        <v>3</v>
      </c>
    </row>
    <row r="27" spans="1:10" x14ac:dyDescent="0.3">
      <c r="A27" t="s">
        <v>81</v>
      </c>
      <c r="B27" t="s">
        <v>82</v>
      </c>
      <c r="C27" t="s">
        <v>83</v>
      </c>
      <c r="D27">
        <v>3</v>
      </c>
      <c r="E27" s="3">
        <v>1700</v>
      </c>
      <c r="F27" s="3">
        <f>D27*E27</f>
        <v>5100</v>
      </c>
      <c r="H27">
        <v>725</v>
      </c>
      <c r="I27" t="s">
        <v>91</v>
      </c>
      <c r="J27" t="s">
        <v>102</v>
      </c>
    </row>
    <row r="28" spans="1:10" x14ac:dyDescent="0.3">
      <c r="A28" t="s">
        <v>84</v>
      </c>
      <c r="C28" t="s">
        <v>83</v>
      </c>
      <c r="D28">
        <v>4</v>
      </c>
      <c r="E28" s="3">
        <v>310</v>
      </c>
      <c r="F28" s="3">
        <f>D28*E28</f>
        <v>1240</v>
      </c>
      <c r="H28">
        <v>580</v>
      </c>
      <c r="I28" t="s">
        <v>90</v>
      </c>
    </row>
    <row r="29" spans="1:10" x14ac:dyDescent="0.3">
      <c r="A29" t="s">
        <v>507</v>
      </c>
      <c r="C29" t="s">
        <v>197</v>
      </c>
    </row>
    <row r="30" spans="1:10" x14ac:dyDescent="0.3">
      <c r="A30" t="s">
        <v>198</v>
      </c>
      <c r="B30" t="s">
        <v>196</v>
      </c>
      <c r="C30" t="s">
        <v>197</v>
      </c>
      <c r="D30">
        <v>4</v>
      </c>
      <c r="E30" s="3">
        <v>231.9</v>
      </c>
      <c r="F30" s="3">
        <f t="shared" ref="F30:F39" si="1">D30*E30</f>
        <v>927.6</v>
      </c>
    </row>
    <row r="31" spans="1:10" x14ac:dyDescent="0.3">
      <c r="A31" t="s">
        <v>199</v>
      </c>
      <c r="B31" t="s">
        <v>200</v>
      </c>
      <c r="C31" t="s">
        <v>197</v>
      </c>
      <c r="D31">
        <v>4</v>
      </c>
      <c r="E31" s="3">
        <v>284.52999999999997</v>
      </c>
      <c r="F31" s="3">
        <f t="shared" si="1"/>
        <v>1138.1199999999999</v>
      </c>
    </row>
    <row r="32" spans="1:10" x14ac:dyDescent="0.3">
      <c r="A32" t="s">
        <v>92</v>
      </c>
      <c r="B32" t="s">
        <v>86</v>
      </c>
      <c r="C32" t="s">
        <v>85</v>
      </c>
      <c r="D32">
        <v>3</v>
      </c>
      <c r="E32" s="3">
        <v>23.62</v>
      </c>
      <c r="F32" s="3">
        <f t="shared" si="1"/>
        <v>70.86</v>
      </c>
      <c r="H32">
        <v>3200</v>
      </c>
      <c r="I32" t="s">
        <v>89</v>
      </c>
    </row>
    <row r="33" spans="1:11" x14ac:dyDescent="0.3">
      <c r="A33" t="s">
        <v>87</v>
      </c>
      <c r="B33" s="7" t="s">
        <v>94</v>
      </c>
      <c r="C33" t="s">
        <v>85</v>
      </c>
      <c r="D33">
        <v>2</v>
      </c>
      <c r="E33" s="3">
        <v>45.67</v>
      </c>
      <c r="F33" s="3">
        <f t="shared" si="1"/>
        <v>91.34</v>
      </c>
      <c r="H33" t="s">
        <v>110</v>
      </c>
      <c r="I33" t="s">
        <v>93</v>
      </c>
    </row>
    <row r="34" spans="1:11" x14ac:dyDescent="0.3">
      <c r="A34" t="s">
        <v>96</v>
      </c>
      <c r="B34" t="s">
        <v>100</v>
      </c>
      <c r="C34" t="s">
        <v>95</v>
      </c>
      <c r="D34">
        <v>2</v>
      </c>
      <c r="E34" s="3">
        <v>4.79</v>
      </c>
      <c r="F34" s="3">
        <f t="shared" si="1"/>
        <v>9.58</v>
      </c>
      <c r="I34" t="s">
        <v>97</v>
      </c>
      <c r="J34" t="s">
        <v>101</v>
      </c>
    </row>
    <row r="35" spans="1:11" x14ac:dyDescent="0.3">
      <c r="A35" t="s">
        <v>103</v>
      </c>
      <c r="D35">
        <v>3</v>
      </c>
      <c r="F35" s="3">
        <f t="shared" si="1"/>
        <v>0</v>
      </c>
    </row>
    <row r="36" spans="1:11" x14ac:dyDescent="0.3">
      <c r="A36" t="s">
        <v>104</v>
      </c>
      <c r="B36" t="s">
        <v>105</v>
      </c>
      <c r="C36" t="s">
        <v>106</v>
      </c>
      <c r="D36">
        <v>2</v>
      </c>
      <c r="F36" s="3">
        <f t="shared" si="1"/>
        <v>0</v>
      </c>
      <c r="H36">
        <v>2000</v>
      </c>
      <c r="J36" t="s">
        <v>108</v>
      </c>
      <c r="K36" t="s">
        <v>107</v>
      </c>
    </row>
    <row r="37" spans="1:11" x14ac:dyDescent="0.3">
      <c r="A37" t="s">
        <v>111</v>
      </c>
      <c r="F37" s="3">
        <f t="shared" si="1"/>
        <v>0</v>
      </c>
    </row>
    <row r="38" spans="1:11" x14ac:dyDescent="0.3">
      <c r="A38" t="s">
        <v>112</v>
      </c>
      <c r="F38" s="3">
        <f t="shared" si="1"/>
        <v>0</v>
      </c>
    </row>
    <row r="39" spans="1:11" x14ac:dyDescent="0.3">
      <c r="A39" t="s">
        <v>201</v>
      </c>
      <c r="B39" t="s">
        <v>202</v>
      </c>
      <c r="C39" t="s">
        <v>203</v>
      </c>
      <c r="D39">
        <v>2</v>
      </c>
      <c r="E39" s="3">
        <v>4.84</v>
      </c>
      <c r="F39" s="3">
        <f t="shared" si="1"/>
        <v>9.68</v>
      </c>
    </row>
    <row r="41" spans="1:11" x14ac:dyDescent="0.3">
      <c r="A41" s="9" t="s">
        <v>467</v>
      </c>
    </row>
    <row r="42" spans="1:11" x14ac:dyDescent="0.3">
      <c r="A42" t="s">
        <v>461</v>
      </c>
      <c r="B42" t="s">
        <v>465</v>
      </c>
      <c r="C42" t="s">
        <v>197</v>
      </c>
      <c r="D42">
        <v>1</v>
      </c>
      <c r="E42" s="3">
        <v>19.63</v>
      </c>
      <c r="F42" s="3">
        <f>E42*D42</f>
        <v>19.63</v>
      </c>
    </row>
    <row r="43" spans="1:11" x14ac:dyDescent="0.3">
      <c r="A43" t="s">
        <v>456</v>
      </c>
      <c r="B43" t="s">
        <v>448</v>
      </c>
      <c r="C43" t="s">
        <v>85</v>
      </c>
      <c r="D43">
        <v>10</v>
      </c>
      <c r="E43" s="3">
        <v>7.14</v>
      </c>
      <c r="F43" s="3">
        <f>D43*E43</f>
        <v>71.399999999999991</v>
      </c>
    </row>
    <row r="44" spans="1:11" x14ac:dyDescent="0.3">
      <c r="A44" t="s">
        <v>449</v>
      </c>
      <c r="B44" t="s">
        <v>450</v>
      </c>
      <c r="C44" t="s">
        <v>85</v>
      </c>
      <c r="D44">
        <v>10</v>
      </c>
      <c r="E44" s="3">
        <v>2.54</v>
      </c>
      <c r="F44" s="3">
        <f>D44*E44</f>
        <v>25.4</v>
      </c>
    </row>
    <row r="45" spans="1:11" x14ac:dyDescent="0.3">
      <c r="A45" t="s">
        <v>468</v>
      </c>
      <c r="B45" t="s">
        <v>470</v>
      </c>
      <c r="C45" t="s">
        <v>85</v>
      </c>
      <c r="D45">
        <v>1</v>
      </c>
      <c r="E45" s="3">
        <v>51.1</v>
      </c>
      <c r="F45" s="3">
        <f>D45*E45</f>
        <v>51.1</v>
      </c>
    </row>
    <row r="46" spans="1:11" x14ac:dyDescent="0.3">
      <c r="A46" t="s">
        <v>455</v>
      </c>
      <c r="B46" t="s">
        <v>471</v>
      </c>
      <c r="C46" t="s">
        <v>85</v>
      </c>
      <c r="D46">
        <v>5</v>
      </c>
      <c r="E46" s="3">
        <v>19.14</v>
      </c>
      <c r="F46" s="3">
        <f>D46*E46</f>
        <v>95.7</v>
      </c>
      <c r="J46" t="s">
        <v>477</v>
      </c>
    </row>
    <row r="47" spans="1:11" x14ac:dyDescent="0.3">
      <c r="E47" s="3" t="s">
        <v>464</v>
      </c>
      <c r="F47" s="3">
        <f>SUM(F42:F46)</f>
        <v>263.22999999999996</v>
      </c>
    </row>
    <row r="49" spans="1:6" x14ac:dyDescent="0.3">
      <c r="A49" s="9" t="s">
        <v>472</v>
      </c>
    </row>
    <row r="50" spans="1:6" x14ac:dyDescent="0.3">
      <c r="A50" t="s">
        <v>460</v>
      </c>
      <c r="B50" s="42">
        <v>43898</v>
      </c>
      <c r="C50" t="s">
        <v>197</v>
      </c>
      <c r="D50">
        <v>1</v>
      </c>
      <c r="E50" s="3">
        <v>13.63</v>
      </c>
      <c r="F50" s="3">
        <f>E50*D50</f>
        <v>13.63</v>
      </c>
    </row>
    <row r="51" spans="1:6" x14ac:dyDescent="0.3">
      <c r="A51" t="s">
        <v>473</v>
      </c>
    </row>
    <row r="52" spans="1:6" x14ac:dyDescent="0.3">
      <c r="A52" t="s">
        <v>474</v>
      </c>
    </row>
    <row r="53" spans="1:6" x14ac:dyDescent="0.3">
      <c r="A53" t="s">
        <v>475</v>
      </c>
    </row>
    <row r="54" spans="1:6" x14ac:dyDescent="0.3">
      <c r="A54" t="s">
        <v>476</v>
      </c>
    </row>
    <row r="56" spans="1:6" x14ac:dyDescent="0.3">
      <c r="A56" s="9" t="s">
        <v>458</v>
      </c>
    </row>
    <row r="57" spans="1:6" x14ac:dyDescent="0.3">
      <c r="A57" t="s">
        <v>461</v>
      </c>
      <c r="B57" t="s">
        <v>465</v>
      </c>
      <c r="C57" t="s">
        <v>197</v>
      </c>
      <c r="D57">
        <v>1</v>
      </c>
      <c r="E57" s="3">
        <v>19.63</v>
      </c>
      <c r="F57" s="3">
        <f>E57*D57</f>
        <v>19.63</v>
      </c>
    </row>
    <row r="58" spans="1:6" x14ac:dyDescent="0.3">
      <c r="A58" t="s">
        <v>454</v>
      </c>
      <c r="B58" t="s">
        <v>466</v>
      </c>
      <c r="C58" t="s">
        <v>197</v>
      </c>
      <c r="D58">
        <v>1</v>
      </c>
      <c r="E58" s="3">
        <v>61.88</v>
      </c>
      <c r="F58" s="3">
        <f>E58*D58</f>
        <v>61.88</v>
      </c>
    </row>
    <row r="59" spans="1:6" x14ac:dyDescent="0.3">
      <c r="A59" t="s">
        <v>451</v>
      </c>
      <c r="B59" t="s">
        <v>452</v>
      </c>
      <c r="C59" t="s">
        <v>197</v>
      </c>
      <c r="D59">
        <v>5</v>
      </c>
      <c r="E59" s="3">
        <v>22.63</v>
      </c>
      <c r="F59" s="3">
        <f>E59*D59</f>
        <v>113.14999999999999</v>
      </c>
    </row>
    <row r="60" spans="1:6" x14ac:dyDescent="0.3">
      <c r="E60" s="3" t="s">
        <v>464</v>
      </c>
      <c r="F60" s="3">
        <f>SUM(F57:F59)</f>
        <v>194.66</v>
      </c>
    </row>
    <row r="62" spans="1:6" x14ac:dyDescent="0.3">
      <c r="A62" s="9" t="s">
        <v>459</v>
      </c>
    </row>
    <row r="63" spans="1:6" x14ac:dyDescent="0.3">
      <c r="A63" t="s">
        <v>460</v>
      </c>
      <c r="D63">
        <v>1</v>
      </c>
      <c r="E63" s="3">
        <v>13.63</v>
      </c>
      <c r="F63" s="3">
        <f>E63*D63</f>
        <v>13.63</v>
      </c>
    </row>
    <row r="64" spans="1:6" x14ac:dyDescent="0.3">
      <c r="A64" t="s">
        <v>462</v>
      </c>
      <c r="D64">
        <v>2</v>
      </c>
      <c r="E64" s="3">
        <v>15.25</v>
      </c>
      <c r="F64" s="3">
        <f>D64*E64</f>
        <v>30.5</v>
      </c>
    </row>
    <row r="65" spans="1:10" x14ac:dyDescent="0.3">
      <c r="A65" t="s">
        <v>453</v>
      </c>
      <c r="D65">
        <v>1</v>
      </c>
      <c r="E65" s="3">
        <v>40.25</v>
      </c>
      <c r="F65" s="3">
        <f>D65*E65</f>
        <v>40.25</v>
      </c>
    </row>
    <row r="66" spans="1:10" x14ac:dyDescent="0.3">
      <c r="A66" t="s">
        <v>457</v>
      </c>
      <c r="D66">
        <v>3</v>
      </c>
      <c r="E66" s="3">
        <v>18.25</v>
      </c>
      <c r="F66" s="3">
        <f>D66*E66</f>
        <v>54.75</v>
      </c>
      <c r="J66" t="s">
        <v>463</v>
      </c>
    </row>
    <row r="67" spans="1:10" x14ac:dyDescent="0.3">
      <c r="E67" s="3" t="s">
        <v>464</v>
      </c>
      <c r="F67" s="3">
        <f>SUM(F63:F66)</f>
        <v>139.13</v>
      </c>
    </row>
    <row r="69" spans="1:10" x14ac:dyDescent="0.3">
      <c r="E69" s="2" t="s">
        <v>126</v>
      </c>
      <c r="F69" s="3">
        <f>SUM(F24:F39)</f>
        <v>8587.1800000000021</v>
      </c>
    </row>
    <row r="70" spans="1:10" x14ac:dyDescent="0.3">
      <c r="E70" s="2"/>
    </row>
    <row r="71" spans="1:10" x14ac:dyDescent="0.3">
      <c r="A71" s="1" t="s">
        <v>190</v>
      </c>
      <c r="E71" s="2"/>
    </row>
    <row r="72" spans="1:10" x14ac:dyDescent="0.3">
      <c r="A72" t="s">
        <v>478</v>
      </c>
      <c r="E72" s="2"/>
    </row>
    <row r="73" spans="1:10" x14ac:dyDescent="0.3">
      <c r="A73" t="s">
        <v>87</v>
      </c>
      <c r="B73" s="7" t="s">
        <v>94</v>
      </c>
      <c r="C73" t="s">
        <v>85</v>
      </c>
      <c r="D73">
        <v>2</v>
      </c>
      <c r="E73" s="3">
        <v>45.67</v>
      </c>
      <c r="F73" s="3">
        <f>D73*E73</f>
        <v>91.34</v>
      </c>
      <c r="H73" t="s">
        <v>110</v>
      </c>
      <c r="I73" t="s">
        <v>93</v>
      </c>
    </row>
    <row r="74" spans="1:10" x14ac:dyDescent="0.3">
      <c r="A74" t="s">
        <v>198</v>
      </c>
      <c r="B74" t="s">
        <v>196</v>
      </c>
      <c r="C74" t="s">
        <v>197</v>
      </c>
      <c r="D74">
        <v>2</v>
      </c>
      <c r="E74" s="3">
        <v>231.9</v>
      </c>
      <c r="F74" s="3">
        <f>D74*E74</f>
        <v>463.8</v>
      </c>
    </row>
    <row r="75" spans="1:10" x14ac:dyDescent="0.3">
      <c r="A75" t="s">
        <v>92</v>
      </c>
      <c r="B75" t="s">
        <v>86</v>
      </c>
      <c r="C75" t="s">
        <v>85</v>
      </c>
      <c r="D75">
        <v>2</v>
      </c>
      <c r="E75" s="3">
        <v>23.62</v>
      </c>
      <c r="F75" s="3">
        <f>D75*E75</f>
        <v>47.24</v>
      </c>
      <c r="H75">
        <v>3200</v>
      </c>
      <c r="I75" t="s">
        <v>89</v>
      </c>
    </row>
    <row r="76" spans="1:10" x14ac:dyDescent="0.3">
      <c r="A76" t="s">
        <v>96</v>
      </c>
      <c r="B76" t="s">
        <v>100</v>
      </c>
      <c r="C76" t="s">
        <v>95</v>
      </c>
      <c r="D76">
        <v>2</v>
      </c>
      <c r="E76" s="3">
        <v>4.79</v>
      </c>
      <c r="F76" s="3">
        <f>D76*E76</f>
        <v>9.58</v>
      </c>
      <c r="I76" t="s">
        <v>97</v>
      </c>
      <c r="J76" t="s">
        <v>101</v>
      </c>
    </row>
    <row r="77" spans="1:10" x14ac:dyDescent="0.3">
      <c r="A77" t="s">
        <v>479</v>
      </c>
      <c r="D77">
        <v>1</v>
      </c>
      <c r="E77" s="2">
        <f>E35</f>
        <v>0</v>
      </c>
    </row>
    <row r="78" spans="1:10" x14ac:dyDescent="0.3">
      <c r="A78" s="1"/>
      <c r="E78" s="2"/>
    </row>
    <row r="79" spans="1:10" x14ac:dyDescent="0.3">
      <c r="A79" s="1"/>
      <c r="E79" s="2"/>
    </row>
    <row r="80" spans="1:10" x14ac:dyDescent="0.3">
      <c r="A80" s="1"/>
      <c r="E80" s="2"/>
    </row>
    <row r="81" spans="1:11" x14ac:dyDescent="0.3">
      <c r="A81" t="s">
        <v>460</v>
      </c>
      <c r="D81">
        <v>1</v>
      </c>
      <c r="E81" s="3">
        <v>13.63</v>
      </c>
      <c r="F81" s="3">
        <f>E81*D81</f>
        <v>13.63</v>
      </c>
    </row>
    <row r="82" spans="1:11" x14ac:dyDescent="0.3">
      <c r="A82" t="s">
        <v>462</v>
      </c>
      <c r="D82">
        <v>2</v>
      </c>
      <c r="E82" s="3">
        <v>15.25</v>
      </c>
      <c r="F82" s="3">
        <f>D82*E82</f>
        <v>30.5</v>
      </c>
    </row>
    <row r="83" spans="1:11" x14ac:dyDescent="0.3">
      <c r="A83" t="s">
        <v>457</v>
      </c>
      <c r="D83">
        <v>1</v>
      </c>
      <c r="E83" s="3">
        <v>18.25</v>
      </c>
      <c r="F83" s="3">
        <f>D83*E83</f>
        <v>18.25</v>
      </c>
      <c r="J83" t="s">
        <v>469</v>
      </c>
    </row>
    <row r="84" spans="1:11" x14ac:dyDescent="0.3">
      <c r="E84" s="3" t="s">
        <v>464</v>
      </c>
      <c r="F84" s="3">
        <f>SUM(F72:F83)</f>
        <v>674.34</v>
      </c>
    </row>
    <row r="86" spans="1:11" x14ac:dyDescent="0.3">
      <c r="A86" s="1" t="s">
        <v>128</v>
      </c>
      <c r="J86" s="9" t="s">
        <v>127</v>
      </c>
    </row>
    <row r="87" spans="1:11" x14ac:dyDescent="0.3">
      <c r="A87" t="s">
        <v>124</v>
      </c>
      <c r="B87">
        <v>9814</v>
      </c>
      <c r="C87" t="s">
        <v>123</v>
      </c>
      <c r="D87">
        <v>4</v>
      </c>
      <c r="E87" s="3">
        <v>7.48</v>
      </c>
      <c r="F87" s="3">
        <f>D87*E87</f>
        <v>29.92</v>
      </c>
      <c r="J87" s="9" t="s">
        <v>177</v>
      </c>
    </row>
    <row r="88" spans="1:11" x14ac:dyDescent="0.3">
      <c r="A88" t="s">
        <v>122</v>
      </c>
      <c r="C88" t="s">
        <v>121</v>
      </c>
      <c r="D88">
        <v>2</v>
      </c>
      <c r="E88" s="3">
        <v>27.64</v>
      </c>
      <c r="F88" s="3">
        <f>D88*E88</f>
        <v>55.28</v>
      </c>
    </row>
    <row r="89" spans="1:11" x14ac:dyDescent="0.3">
      <c r="A89" t="s">
        <v>125</v>
      </c>
      <c r="B89">
        <v>26016</v>
      </c>
      <c r="C89" t="s">
        <v>129</v>
      </c>
      <c r="D89">
        <v>4</v>
      </c>
      <c r="E89" s="3">
        <v>4.8</v>
      </c>
      <c r="F89" s="3">
        <f>D89*E89</f>
        <v>19.2</v>
      </c>
      <c r="I89" t="s">
        <v>130</v>
      </c>
      <c r="K89" t="s">
        <v>131</v>
      </c>
    </row>
    <row r="90" spans="1:11" x14ac:dyDescent="0.3">
      <c r="A90" t="s">
        <v>136</v>
      </c>
      <c r="E90" s="3" t="s">
        <v>137</v>
      </c>
    </row>
    <row r="91" spans="1:11" x14ac:dyDescent="0.3">
      <c r="E91" s="2" t="s">
        <v>126</v>
      </c>
      <c r="F91" s="3">
        <f>SUM(F87:F90)</f>
        <v>104.4</v>
      </c>
    </row>
    <row r="92" spans="1:11" x14ac:dyDescent="0.3">
      <c r="E92" s="2"/>
    </row>
    <row r="93" spans="1:11" x14ac:dyDescent="0.3">
      <c r="A93" s="1" t="s">
        <v>416</v>
      </c>
      <c r="E93" s="2"/>
    </row>
    <row r="94" spans="1:11" x14ac:dyDescent="0.3">
      <c r="A94" t="s">
        <v>417</v>
      </c>
      <c r="C94" t="s">
        <v>418</v>
      </c>
      <c r="D94">
        <v>2</v>
      </c>
      <c r="E94" s="35">
        <v>76.989999999999995</v>
      </c>
      <c r="F94" s="3">
        <f>E94*D94</f>
        <v>153.97999999999999</v>
      </c>
      <c r="H94" t="s">
        <v>420</v>
      </c>
      <c r="J94" t="s">
        <v>419</v>
      </c>
    </row>
    <row r="95" spans="1:11" x14ac:dyDescent="0.3">
      <c r="E95" s="35"/>
    </row>
    <row r="96" spans="1:11" x14ac:dyDescent="0.3">
      <c r="E96" s="2" t="s">
        <v>126</v>
      </c>
      <c r="F96" s="3">
        <f>SUM(F94:F95)</f>
        <v>153.97999999999999</v>
      </c>
    </row>
    <row r="97" spans="1:11" x14ac:dyDescent="0.3">
      <c r="A97" s="1" t="s">
        <v>190</v>
      </c>
    </row>
    <row r="102" spans="1:11" x14ac:dyDescent="0.3">
      <c r="A102" s="1" t="s">
        <v>192</v>
      </c>
    </row>
    <row r="103" spans="1:11" x14ac:dyDescent="0.3">
      <c r="A103" t="s">
        <v>193</v>
      </c>
    </row>
    <row r="104" spans="1:11" x14ac:dyDescent="0.3">
      <c r="A104" t="s">
        <v>194</v>
      </c>
    </row>
    <row r="105" spans="1:11" x14ac:dyDescent="0.3">
      <c r="A105" t="s">
        <v>195</v>
      </c>
    </row>
    <row r="107" spans="1:11" x14ac:dyDescent="0.3">
      <c r="A107" s="1" t="s">
        <v>421</v>
      </c>
      <c r="B107" t="s">
        <v>429</v>
      </c>
      <c r="F107" s="3" t="s">
        <v>437</v>
      </c>
      <c r="H107" s="36" t="s">
        <v>430</v>
      </c>
      <c r="I107" s="36" t="s">
        <v>431</v>
      </c>
    </row>
    <row r="108" spans="1:11" x14ac:dyDescent="0.3">
      <c r="A108" t="s">
        <v>422</v>
      </c>
      <c r="B108" t="s">
        <v>423</v>
      </c>
      <c r="F108" s="3">
        <v>120</v>
      </c>
      <c r="H108" t="s">
        <v>438</v>
      </c>
      <c r="I108" t="s">
        <v>434</v>
      </c>
    </row>
    <row r="109" spans="1:11" x14ac:dyDescent="0.3">
      <c r="A109" t="s">
        <v>424</v>
      </c>
      <c r="B109" t="s">
        <v>425</v>
      </c>
      <c r="F109" s="3" t="s">
        <v>426</v>
      </c>
      <c r="H109" t="s">
        <v>435</v>
      </c>
      <c r="I109" t="s">
        <v>426</v>
      </c>
      <c r="K109" t="s">
        <v>436</v>
      </c>
    </row>
    <row r="110" spans="1:11" x14ac:dyDescent="0.3">
      <c r="A110" t="s">
        <v>427</v>
      </c>
      <c r="B110" t="s">
        <v>428</v>
      </c>
      <c r="F110" s="3">
        <v>65</v>
      </c>
      <c r="H110" t="s">
        <v>432</v>
      </c>
      <c r="I110" t="s">
        <v>433</v>
      </c>
    </row>
    <row r="112" spans="1:11" x14ac:dyDescent="0.3">
      <c r="A112" s="1" t="s">
        <v>503</v>
      </c>
    </row>
    <row r="113" spans="1:11" x14ac:dyDescent="0.3">
      <c r="A113" t="s">
        <v>505</v>
      </c>
      <c r="C113" t="s">
        <v>504</v>
      </c>
      <c r="D113">
        <v>1</v>
      </c>
      <c r="E113" s="3">
        <v>19.98</v>
      </c>
      <c r="F113" s="3">
        <f>E113*D113</f>
        <v>19.98</v>
      </c>
      <c r="K113" s="44" t="s">
        <v>506</v>
      </c>
    </row>
    <row r="114" spans="1:11" x14ac:dyDescent="0.3">
      <c r="A114" t="s">
        <v>508</v>
      </c>
      <c r="B114" t="s">
        <v>514</v>
      </c>
      <c r="C114" t="s">
        <v>509</v>
      </c>
      <c r="D114">
        <v>4</v>
      </c>
      <c r="E114" s="3">
        <v>23.5</v>
      </c>
      <c r="F114" s="3">
        <f>D114*E114</f>
        <v>94</v>
      </c>
      <c r="H114">
        <v>115</v>
      </c>
      <c r="K114" s="44" t="s">
        <v>511</v>
      </c>
    </row>
    <row r="115" spans="1:11" x14ac:dyDescent="0.3">
      <c r="A115" t="s">
        <v>515</v>
      </c>
      <c r="B115">
        <v>51436780</v>
      </c>
      <c r="C115" t="s">
        <v>512</v>
      </c>
      <c r="D115">
        <v>10</v>
      </c>
      <c r="E115" s="3">
        <v>3.72</v>
      </c>
      <c r="F115" s="3">
        <f>E115*D115</f>
        <v>37.200000000000003</v>
      </c>
      <c r="H115">
        <v>145</v>
      </c>
    </row>
    <row r="116" spans="1:11" x14ac:dyDescent="0.3">
      <c r="A116" t="s">
        <v>516</v>
      </c>
      <c r="B116">
        <v>85804961</v>
      </c>
      <c r="C116" t="s">
        <v>512</v>
      </c>
      <c r="D116">
        <v>1</v>
      </c>
      <c r="E116" s="3">
        <v>12.07</v>
      </c>
      <c r="F116" s="3">
        <f>E116*D116</f>
        <v>12.07</v>
      </c>
      <c r="K116" t="s">
        <v>513</v>
      </c>
    </row>
    <row r="117" spans="1:11" x14ac:dyDescent="0.3">
      <c r="A117" t="s">
        <v>533</v>
      </c>
      <c r="B117" t="s">
        <v>534</v>
      </c>
      <c r="C117" t="s">
        <v>203</v>
      </c>
      <c r="D117">
        <v>1</v>
      </c>
      <c r="E117" s="3">
        <v>7.37</v>
      </c>
      <c r="F117" s="3">
        <f>E117*D117</f>
        <v>7.37</v>
      </c>
      <c r="K117" s="44" t="s">
        <v>535</v>
      </c>
    </row>
    <row r="118" spans="1:11" x14ac:dyDescent="0.3">
      <c r="A118" t="s">
        <v>529</v>
      </c>
      <c r="B118" t="s">
        <v>530</v>
      </c>
      <c r="C118" t="s">
        <v>203</v>
      </c>
      <c r="D118">
        <v>2</v>
      </c>
      <c r="E118" s="3">
        <v>7.37</v>
      </c>
      <c r="F118" s="3">
        <f t="shared" ref="F118:F125" si="2">E118*D118</f>
        <v>14.74</v>
      </c>
      <c r="K118" s="44" t="s">
        <v>536</v>
      </c>
    </row>
    <row r="120" spans="1:11" x14ac:dyDescent="0.3">
      <c r="A120" t="s">
        <v>518</v>
      </c>
      <c r="B120" t="s">
        <v>517</v>
      </c>
      <c r="C120" t="s">
        <v>509</v>
      </c>
      <c r="D120">
        <v>5</v>
      </c>
      <c r="E120" s="3">
        <v>21.5</v>
      </c>
      <c r="F120" s="3">
        <f t="shared" si="2"/>
        <v>107.5</v>
      </c>
    </row>
    <row r="121" spans="1:11" x14ac:dyDescent="0.3">
      <c r="A121" t="s">
        <v>523</v>
      </c>
      <c r="B121" t="s">
        <v>524</v>
      </c>
      <c r="C121" t="s">
        <v>509</v>
      </c>
      <c r="D121">
        <f>D120</f>
        <v>5</v>
      </c>
      <c r="E121" s="3">
        <v>3.25</v>
      </c>
      <c r="F121" s="3">
        <f t="shared" si="2"/>
        <v>16.25</v>
      </c>
    </row>
    <row r="122" spans="1:11" x14ac:dyDescent="0.3">
      <c r="A122" t="s">
        <v>519</v>
      </c>
      <c r="B122" t="s">
        <v>520</v>
      </c>
      <c r="C122" t="s">
        <v>509</v>
      </c>
      <c r="D122">
        <v>4</v>
      </c>
      <c r="E122" s="3">
        <v>22</v>
      </c>
      <c r="F122" s="3">
        <f t="shared" si="2"/>
        <v>88</v>
      </c>
    </row>
    <row r="123" spans="1:11" x14ac:dyDescent="0.3">
      <c r="A123" t="s">
        <v>525</v>
      </c>
      <c r="B123" t="s">
        <v>526</v>
      </c>
      <c r="C123" t="s">
        <v>509</v>
      </c>
      <c r="D123">
        <f>D122</f>
        <v>4</v>
      </c>
      <c r="E123" s="3">
        <v>3.5</v>
      </c>
      <c r="F123" s="3">
        <f t="shared" si="2"/>
        <v>14</v>
      </c>
    </row>
    <row r="124" spans="1:11" x14ac:dyDescent="0.3">
      <c r="A124" t="s">
        <v>521</v>
      </c>
      <c r="B124" t="s">
        <v>522</v>
      </c>
      <c r="C124" t="s">
        <v>509</v>
      </c>
      <c r="D124">
        <v>1</v>
      </c>
      <c r="E124" s="3">
        <v>40.5</v>
      </c>
      <c r="F124" s="3">
        <f t="shared" si="2"/>
        <v>40.5</v>
      </c>
    </row>
    <row r="125" spans="1:11" x14ac:dyDescent="0.3">
      <c r="A125" t="s">
        <v>527</v>
      </c>
      <c r="B125" t="s">
        <v>528</v>
      </c>
      <c r="C125" t="s">
        <v>509</v>
      </c>
      <c r="D125">
        <f>D124</f>
        <v>1</v>
      </c>
      <c r="E125" s="3">
        <v>5.75</v>
      </c>
      <c r="F125" s="3">
        <f t="shared" si="2"/>
        <v>5.75</v>
      </c>
    </row>
    <row r="127" spans="1:11" x14ac:dyDescent="0.3">
      <c r="F127" s="45"/>
      <c r="G127" s="45"/>
    </row>
    <row r="128" spans="1:11" x14ac:dyDescent="0.3">
      <c r="F128" s="45"/>
      <c r="G128" s="45"/>
    </row>
    <row r="129" spans="6:9" x14ac:dyDescent="0.3">
      <c r="F129" s="45"/>
      <c r="G129" s="45"/>
      <c r="I129">
        <v>5</v>
      </c>
    </row>
    <row r="130" spans="6:9" x14ac:dyDescent="0.3">
      <c r="F130" s="45"/>
      <c r="G130" s="45"/>
    </row>
    <row r="131" spans="6:9" x14ac:dyDescent="0.3">
      <c r="F131" s="45"/>
      <c r="G131" s="45"/>
    </row>
    <row r="132" spans="6:9" x14ac:dyDescent="0.3">
      <c r="F132" s="45"/>
      <c r="G132" s="45"/>
    </row>
    <row r="133" spans="6:9" x14ac:dyDescent="0.3">
      <c r="F133" s="45"/>
      <c r="G133" s="45"/>
    </row>
    <row r="134" spans="6:9" x14ac:dyDescent="0.3">
      <c r="F134" s="45"/>
      <c r="G134" s="45"/>
    </row>
    <row r="135" spans="6:9" x14ac:dyDescent="0.3">
      <c r="F135" s="45"/>
      <c r="G135" s="45"/>
    </row>
  </sheetData>
  <hyperlinks>
    <hyperlink ref="B16" r:id="rId1" display="https://www.mcmaster.com/1810T2" xr:uid="{00000000-0004-0000-0400-000000000000}"/>
    <hyperlink ref="K113" r:id="rId2" xr:uid="{00000000-0004-0000-0400-000001000000}"/>
    <hyperlink ref="K114" r:id="rId3" display="https://www.automationdirect.com/adc/shopping/catalog/pneumatic_components/pneumatic_solenoid_directional_control_valves_-a-_accessories/5-port_(4-way),_2-pos.,_body_ported_-z-_manifold_(avs-5,am_series)/avs-5312-24d?gclid=CjwKCAiA4Y7yBRB8EiwADV1habD_SbEe2RJpYAjn4iKfgaApzAHAxhHZLR9NOJrPUy1lFEvuAuS0-RoC8GsQAvD_BwE" xr:uid="{00000000-0004-0000-0400-000002000000}"/>
    <hyperlink ref="K117" r:id="rId4" display="https://www.amazon.com/Pcs-Tube-push-connect-fitting/dp/B01DQ1A8YM/ref=pd_bxgy_3/137-1700328-5205923?_encoding=UTF8&amp;pd_rd_i=B01DQ1A8YM&amp;pd_rd_r=baf40765-711f-4a2c-afef-d22cf693f5c0&amp;pd_rd_w=f7B7U&amp;pd_rd_wg=0yAWQ&amp;pf_rd_p=fd08095f-55ff-4a15-9b49-4a1a719225a9&amp;pf_rd_r=8WE25GB08S3X0F2RES5A&amp;psc=1&amp;refRID=8WE25GB08S3X0F2RES5A" xr:uid="{00000000-0004-0000-0400-000003000000}"/>
    <hyperlink ref="K118" r:id="rId5" xr:uid="{00000000-0004-0000-0400-000004000000}"/>
  </hyperlinks>
  <pageMargins left="0.7" right="0.7" top="0.75" bottom="0.75" header="0.3" footer="0.3"/>
  <pageSetup orientation="portrait" horizontalDpi="4294967293" verticalDpi="0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4"/>
  <sheetViews>
    <sheetView workbookViewId="0">
      <selection activeCell="I71" sqref="I71"/>
    </sheetView>
  </sheetViews>
  <sheetFormatPr defaultRowHeight="14.4" x14ac:dyDescent="0.3"/>
  <cols>
    <col min="1" max="1" width="30" customWidth="1"/>
    <col min="2" max="2" width="12.33203125" bestFit="1" customWidth="1"/>
    <col min="5" max="6" width="11.44140625" bestFit="1" customWidth="1"/>
    <col min="7" max="7" width="10.5546875" bestFit="1" customWidth="1"/>
    <col min="10" max="10" width="19.33203125" customWidth="1"/>
    <col min="16" max="16" width="10.109375" customWidth="1"/>
  </cols>
  <sheetData>
    <row r="1" spans="1:14" s="12" customFormat="1" x14ac:dyDescent="0.3">
      <c r="A1" s="12" t="s">
        <v>43</v>
      </c>
      <c r="B1" s="12" t="s">
        <v>98</v>
      </c>
      <c r="C1" s="12" t="s">
        <v>39</v>
      </c>
      <c r="D1" s="12" t="s">
        <v>40</v>
      </c>
      <c r="E1" s="13" t="s">
        <v>42</v>
      </c>
      <c r="F1" s="13" t="s">
        <v>41</v>
      </c>
      <c r="G1" s="12" t="s">
        <v>191</v>
      </c>
      <c r="H1" s="12" t="s">
        <v>109</v>
      </c>
      <c r="I1" s="12" t="s">
        <v>88</v>
      </c>
      <c r="J1" s="12" t="s">
        <v>99</v>
      </c>
    </row>
    <row r="2" spans="1:14" x14ac:dyDescent="0.3">
      <c r="F2">
        <f>D2*E2</f>
        <v>0</v>
      </c>
    </row>
    <row r="3" spans="1:14" x14ac:dyDescent="0.3">
      <c r="A3" s="1"/>
    </row>
    <row r="4" spans="1:14" s="18" customFormat="1" x14ac:dyDescent="0.3">
      <c r="A4" s="17" t="s">
        <v>80</v>
      </c>
    </row>
    <row r="5" spans="1:14" s="6" customFormat="1" x14ac:dyDescent="0.3">
      <c r="A5" s="8" t="s">
        <v>182</v>
      </c>
    </row>
    <row r="6" spans="1:14" x14ac:dyDescent="0.3">
      <c r="A6" t="s">
        <v>397</v>
      </c>
      <c r="B6" t="s">
        <v>395</v>
      </c>
      <c r="C6" t="s">
        <v>85</v>
      </c>
      <c r="D6">
        <v>2</v>
      </c>
      <c r="E6">
        <v>9.81</v>
      </c>
      <c r="F6">
        <f>E6*D6</f>
        <v>19.62</v>
      </c>
      <c r="I6" t="s">
        <v>396</v>
      </c>
      <c r="J6" t="s">
        <v>394</v>
      </c>
    </row>
    <row r="7" spans="1:14" x14ac:dyDescent="0.3">
      <c r="A7" t="s">
        <v>397</v>
      </c>
      <c r="B7" t="s">
        <v>395</v>
      </c>
      <c r="C7" t="s">
        <v>85</v>
      </c>
      <c r="D7">
        <v>7</v>
      </c>
      <c r="E7">
        <v>2.76</v>
      </c>
      <c r="F7">
        <f>E7*D7</f>
        <v>19.32</v>
      </c>
      <c r="I7" t="s">
        <v>396</v>
      </c>
      <c r="J7" t="s">
        <v>393</v>
      </c>
    </row>
    <row r="8" spans="1:14" x14ac:dyDescent="0.3">
      <c r="J8" t="s">
        <v>399</v>
      </c>
    </row>
    <row r="9" spans="1:14" x14ac:dyDescent="0.3">
      <c r="A9" s="1" t="s">
        <v>183</v>
      </c>
      <c r="F9">
        <f>E9*D9</f>
        <v>0</v>
      </c>
      <c r="J9" t="s">
        <v>243</v>
      </c>
    </row>
    <row r="10" spans="1:14" x14ac:dyDescent="0.3">
      <c r="F10">
        <f>E10*D10</f>
        <v>0</v>
      </c>
      <c r="J10" t="s">
        <v>244</v>
      </c>
    </row>
    <row r="11" spans="1:14" x14ac:dyDescent="0.3">
      <c r="A11" s="1"/>
      <c r="E11" s="1" t="s">
        <v>126</v>
      </c>
      <c r="F11">
        <f>SUM(F6:F10)</f>
        <v>38.94</v>
      </c>
    </row>
    <row r="12" spans="1:14" s="6" customFormat="1" x14ac:dyDescent="0.3">
      <c r="A12" s="8" t="s">
        <v>185</v>
      </c>
    </row>
    <row r="13" spans="1:14" x14ac:dyDescent="0.3">
      <c r="D13">
        <v>1</v>
      </c>
      <c r="F13">
        <f>E13*D13</f>
        <v>0</v>
      </c>
      <c r="J13" t="s">
        <v>206</v>
      </c>
    </row>
    <row r="14" spans="1:14" x14ac:dyDescent="0.3">
      <c r="A14" t="s">
        <v>189</v>
      </c>
      <c r="C14" t="s">
        <v>188</v>
      </c>
      <c r="D14">
        <v>1</v>
      </c>
      <c r="E14" s="3">
        <v>34.9</v>
      </c>
      <c r="F14" s="3">
        <f>D14*E14</f>
        <v>34.9</v>
      </c>
      <c r="G14">
        <v>12</v>
      </c>
      <c r="H14">
        <v>2015</v>
      </c>
    </row>
    <row r="15" spans="1:14" x14ac:dyDescent="0.3">
      <c r="A15" t="s">
        <v>498</v>
      </c>
      <c r="B15" t="s">
        <v>502</v>
      </c>
      <c r="C15" t="s">
        <v>95</v>
      </c>
      <c r="D15">
        <v>1</v>
      </c>
      <c r="E15" s="3">
        <v>222.46</v>
      </c>
      <c r="F15" s="3">
        <f>E15*D15</f>
        <v>222.46</v>
      </c>
      <c r="H15">
        <v>500</v>
      </c>
      <c r="I15" t="s">
        <v>499</v>
      </c>
      <c r="J15" t="s">
        <v>112</v>
      </c>
      <c r="K15" t="s">
        <v>500</v>
      </c>
      <c r="L15" s="39" t="s">
        <v>501</v>
      </c>
      <c r="M15" s="39"/>
      <c r="N15" s="39"/>
    </row>
    <row r="16" spans="1:14" x14ac:dyDescent="0.3">
      <c r="A16" t="s">
        <v>96</v>
      </c>
      <c r="B16" t="s">
        <v>100</v>
      </c>
      <c r="C16" t="s">
        <v>95</v>
      </c>
      <c r="D16">
        <v>1</v>
      </c>
      <c r="E16" s="3">
        <v>4.79</v>
      </c>
      <c r="F16" s="3">
        <f>D16*E16</f>
        <v>4.79</v>
      </c>
      <c r="I16" t="s">
        <v>97</v>
      </c>
      <c r="J16" t="s">
        <v>444</v>
      </c>
    </row>
    <row r="17" spans="1:18" x14ac:dyDescent="0.3">
      <c r="A17" t="s">
        <v>92</v>
      </c>
      <c r="B17" t="s">
        <v>86</v>
      </c>
      <c r="C17" t="s">
        <v>85</v>
      </c>
      <c r="D17">
        <v>1</v>
      </c>
      <c r="E17" s="3">
        <v>23.62</v>
      </c>
      <c r="F17" s="3">
        <f>D17*E17</f>
        <v>23.62</v>
      </c>
      <c r="H17">
        <v>3200</v>
      </c>
      <c r="I17" t="s">
        <v>89</v>
      </c>
      <c r="J17" t="s">
        <v>485</v>
      </c>
    </row>
    <row r="18" spans="1:18" x14ac:dyDescent="0.3">
      <c r="A18" s="1"/>
      <c r="D18">
        <v>1</v>
      </c>
      <c r="F18">
        <f>E18*D18</f>
        <v>0</v>
      </c>
      <c r="J18" t="s">
        <v>207</v>
      </c>
    </row>
    <row r="19" spans="1:18" x14ac:dyDescent="0.3">
      <c r="A19" s="1"/>
      <c r="E19" s="1" t="s">
        <v>126</v>
      </c>
      <c r="F19">
        <f>SUM(F13:F18)</f>
        <v>285.77000000000004</v>
      </c>
    </row>
    <row r="20" spans="1:18" s="6" customFormat="1" x14ac:dyDescent="0.3">
      <c r="A20" s="8" t="s">
        <v>184</v>
      </c>
    </row>
    <row r="21" spans="1:18" x14ac:dyDescent="0.3">
      <c r="D21">
        <v>1</v>
      </c>
      <c r="J21" t="s">
        <v>445</v>
      </c>
    </row>
    <row r="22" spans="1:18" x14ac:dyDescent="0.3">
      <c r="D22">
        <v>1</v>
      </c>
      <c r="J22" t="s">
        <v>104</v>
      </c>
    </row>
    <row r="23" spans="1:18" x14ac:dyDescent="0.3">
      <c r="A23" t="s">
        <v>96</v>
      </c>
      <c r="B23" t="s">
        <v>100</v>
      </c>
      <c r="C23" t="s">
        <v>95</v>
      </c>
      <c r="D23">
        <v>3</v>
      </c>
      <c r="E23" s="3">
        <v>4.79</v>
      </c>
      <c r="F23" s="3">
        <f>D23*E23</f>
        <v>14.370000000000001</v>
      </c>
      <c r="I23" t="s">
        <v>97</v>
      </c>
      <c r="J23" t="s">
        <v>446</v>
      </c>
      <c r="L23" s="39" t="s">
        <v>487</v>
      </c>
      <c r="M23" s="39"/>
    </row>
    <row r="24" spans="1:18" x14ac:dyDescent="0.3">
      <c r="A24" t="s">
        <v>92</v>
      </c>
      <c r="B24" t="s">
        <v>86</v>
      </c>
      <c r="C24" t="s">
        <v>85</v>
      </c>
      <c r="D24">
        <v>2</v>
      </c>
      <c r="E24" s="3">
        <v>23.62</v>
      </c>
      <c r="F24" s="3">
        <f>D24*E24</f>
        <v>47.24</v>
      </c>
      <c r="H24">
        <v>3200</v>
      </c>
      <c r="I24" t="s">
        <v>89</v>
      </c>
      <c r="J24" t="s">
        <v>209</v>
      </c>
    </row>
    <row r="25" spans="1:18" x14ac:dyDescent="0.3">
      <c r="A25" t="s">
        <v>87</v>
      </c>
      <c r="B25" s="7" t="s">
        <v>94</v>
      </c>
      <c r="C25" t="s">
        <v>85</v>
      </c>
      <c r="D25">
        <v>2</v>
      </c>
      <c r="E25" s="3">
        <v>45.67</v>
      </c>
      <c r="F25" s="3">
        <f>D25*E25</f>
        <v>91.34</v>
      </c>
      <c r="H25" t="s">
        <v>110</v>
      </c>
      <c r="I25" t="s">
        <v>93</v>
      </c>
      <c r="J25" t="s">
        <v>208</v>
      </c>
    </row>
    <row r="26" spans="1:18" x14ac:dyDescent="0.3">
      <c r="D26">
        <v>1</v>
      </c>
      <c r="J26" t="s">
        <v>447</v>
      </c>
    </row>
    <row r="27" spans="1:18" s="15" customFormat="1" x14ac:dyDescent="0.3">
      <c r="A27" s="15" t="s">
        <v>198</v>
      </c>
      <c r="B27" s="15" t="s">
        <v>196</v>
      </c>
      <c r="C27" s="15" t="s">
        <v>197</v>
      </c>
      <c r="D27" s="15">
        <v>1</v>
      </c>
      <c r="E27" s="16">
        <v>231.9</v>
      </c>
      <c r="F27" s="16">
        <f>D27*E27</f>
        <v>231.9</v>
      </c>
      <c r="J27" s="15" t="s">
        <v>210</v>
      </c>
      <c r="L27" s="39" t="s">
        <v>496</v>
      </c>
      <c r="M27" s="39"/>
      <c r="N27" s="39"/>
      <c r="O27" s="39"/>
      <c r="P27" s="39"/>
      <c r="Q27" s="39"/>
      <c r="R27" s="39"/>
    </row>
    <row r="28" spans="1:18" x14ac:dyDescent="0.3">
      <c r="A28" t="s">
        <v>96</v>
      </c>
      <c r="B28" t="s">
        <v>100</v>
      </c>
      <c r="C28" t="s">
        <v>95</v>
      </c>
      <c r="D28">
        <v>2</v>
      </c>
      <c r="E28" s="3">
        <v>4.79</v>
      </c>
      <c r="F28" s="3">
        <f>D28*E28</f>
        <v>9.58</v>
      </c>
      <c r="I28" t="s">
        <v>97</v>
      </c>
      <c r="J28" t="s">
        <v>211</v>
      </c>
    </row>
    <row r="29" spans="1:18" x14ac:dyDescent="0.3">
      <c r="D29">
        <v>6</v>
      </c>
      <c r="J29" t="s">
        <v>212</v>
      </c>
      <c r="M29" t="s">
        <v>213</v>
      </c>
    </row>
    <row r="30" spans="1:18" x14ac:dyDescent="0.3">
      <c r="A30" t="s">
        <v>460</v>
      </c>
      <c r="D30">
        <v>1</v>
      </c>
      <c r="E30" s="3">
        <v>13.63</v>
      </c>
      <c r="F30" s="3">
        <f>E30*D30</f>
        <v>13.63</v>
      </c>
      <c r="J30" t="s">
        <v>489</v>
      </c>
    </row>
    <row r="31" spans="1:18" x14ac:dyDescent="0.3">
      <c r="A31" t="s">
        <v>462</v>
      </c>
      <c r="D31">
        <v>2</v>
      </c>
      <c r="E31" s="3">
        <v>15.25</v>
      </c>
      <c r="F31" s="3">
        <f>D31*E31</f>
        <v>30.5</v>
      </c>
      <c r="J31" t="s">
        <v>490</v>
      </c>
    </row>
    <row r="32" spans="1:18" x14ac:dyDescent="0.3">
      <c r="A32" t="s">
        <v>453</v>
      </c>
      <c r="D32">
        <v>1</v>
      </c>
      <c r="E32" s="3">
        <v>40.25</v>
      </c>
      <c r="F32" s="3">
        <f>D32*E32</f>
        <v>40.25</v>
      </c>
      <c r="J32" t="s">
        <v>214</v>
      </c>
    </row>
    <row r="33" spans="1:18" s="15" customFormat="1" x14ac:dyDescent="0.3">
      <c r="A33" s="15" t="s">
        <v>198</v>
      </c>
      <c r="B33" s="15" t="s">
        <v>196</v>
      </c>
      <c r="C33" s="15" t="s">
        <v>197</v>
      </c>
      <c r="D33" s="15">
        <v>2</v>
      </c>
      <c r="E33" s="16">
        <v>231.9</v>
      </c>
      <c r="F33" s="16">
        <f>D33*E33</f>
        <v>463.8</v>
      </c>
      <c r="J33" s="15" t="s">
        <v>215</v>
      </c>
    </row>
    <row r="34" spans="1:18" x14ac:dyDescent="0.3">
      <c r="A34" t="s">
        <v>457</v>
      </c>
      <c r="D34">
        <v>3</v>
      </c>
      <c r="E34" s="3">
        <v>18.25</v>
      </c>
      <c r="F34" s="3">
        <f>D34*E34</f>
        <v>54.75</v>
      </c>
      <c r="J34" t="s">
        <v>491</v>
      </c>
    </row>
    <row r="35" spans="1:18" x14ac:dyDescent="0.3">
      <c r="D35">
        <v>1</v>
      </c>
      <c r="J35" t="s">
        <v>216</v>
      </c>
    </row>
    <row r="36" spans="1:18" x14ac:dyDescent="0.3">
      <c r="J36" t="s">
        <v>217</v>
      </c>
    </row>
    <row r="37" spans="1:18" x14ac:dyDescent="0.3">
      <c r="E37" s="1" t="s">
        <v>126</v>
      </c>
      <c r="F37">
        <f>SUM(F21:F36)</f>
        <v>997.36</v>
      </c>
    </row>
    <row r="38" spans="1:18" s="6" customFormat="1" x14ac:dyDescent="0.3">
      <c r="A38" s="8" t="s">
        <v>204</v>
      </c>
    </row>
    <row r="39" spans="1:18" x14ac:dyDescent="0.3">
      <c r="D39">
        <v>2</v>
      </c>
      <c r="J39" t="s">
        <v>224</v>
      </c>
    </row>
    <row r="40" spans="1:18" x14ac:dyDescent="0.3">
      <c r="D40">
        <v>4</v>
      </c>
      <c r="J40" t="s">
        <v>225</v>
      </c>
    </row>
    <row r="41" spans="1:18" x14ac:dyDescent="0.3">
      <c r="D41">
        <v>4</v>
      </c>
      <c r="J41" t="s">
        <v>226</v>
      </c>
    </row>
    <row r="42" spans="1:18" x14ac:dyDescent="0.3">
      <c r="J42" t="s">
        <v>227</v>
      </c>
    </row>
    <row r="43" spans="1:18" x14ac:dyDescent="0.3">
      <c r="E43" s="1" t="s">
        <v>126</v>
      </c>
      <c r="F43">
        <f>SUM(F39:F42)</f>
        <v>0</v>
      </c>
    </row>
    <row r="44" spans="1:18" s="6" customFormat="1" x14ac:dyDescent="0.3">
      <c r="A44" s="8" t="s">
        <v>190</v>
      </c>
    </row>
    <row r="45" spans="1:18" x14ac:dyDescent="0.3">
      <c r="D45">
        <v>1</v>
      </c>
      <c r="J45" t="s">
        <v>484</v>
      </c>
    </row>
    <row r="46" spans="1:18" x14ac:dyDescent="0.3">
      <c r="A46" t="s">
        <v>92</v>
      </c>
      <c r="B46" t="s">
        <v>86</v>
      </c>
      <c r="C46" t="s">
        <v>85</v>
      </c>
      <c r="D46">
        <v>2</v>
      </c>
      <c r="E46" s="3">
        <v>23.62</v>
      </c>
      <c r="F46" s="3">
        <f>D46*E46</f>
        <v>47.24</v>
      </c>
      <c r="H46">
        <v>3200</v>
      </c>
      <c r="I46" t="s">
        <v>89</v>
      </c>
      <c r="J46" t="s">
        <v>209</v>
      </c>
    </row>
    <row r="47" spans="1:18" x14ac:dyDescent="0.3">
      <c r="A47" t="s">
        <v>87</v>
      </c>
      <c r="B47" s="7" t="s">
        <v>94</v>
      </c>
      <c r="C47" t="s">
        <v>85</v>
      </c>
      <c r="D47">
        <v>2</v>
      </c>
      <c r="E47" s="3">
        <v>45.67</v>
      </c>
      <c r="F47" s="3">
        <f>D47*E47</f>
        <v>91.34</v>
      </c>
      <c r="H47" t="s">
        <v>110</v>
      </c>
      <c r="I47" t="s">
        <v>93</v>
      </c>
      <c r="J47" t="s">
        <v>208</v>
      </c>
      <c r="M47" s="43" t="s">
        <v>488</v>
      </c>
      <c r="N47" s="43"/>
      <c r="O47" s="43"/>
      <c r="P47" s="43"/>
      <c r="Q47" s="43"/>
      <c r="R47" s="43"/>
    </row>
    <row r="48" spans="1:18" x14ac:dyDescent="0.3">
      <c r="D48">
        <v>1</v>
      </c>
      <c r="J48" t="s">
        <v>207</v>
      </c>
    </row>
    <row r="49" spans="1:17" x14ac:dyDescent="0.3">
      <c r="A49" t="s">
        <v>198</v>
      </c>
      <c r="B49" t="s">
        <v>196</v>
      </c>
      <c r="C49" t="s">
        <v>197</v>
      </c>
      <c r="D49">
        <v>2</v>
      </c>
      <c r="E49" s="3">
        <v>231.9</v>
      </c>
      <c r="F49" s="3">
        <f>D49*E49</f>
        <v>463.8</v>
      </c>
      <c r="J49" t="s">
        <v>218</v>
      </c>
      <c r="M49" s="39" t="s">
        <v>486</v>
      </c>
      <c r="N49" s="39"/>
      <c r="O49" s="39"/>
      <c r="P49" s="39"/>
    </row>
    <row r="50" spans="1:17" x14ac:dyDescent="0.3">
      <c r="A50" t="s">
        <v>96</v>
      </c>
      <c r="B50" t="s">
        <v>100</v>
      </c>
      <c r="C50" t="s">
        <v>95</v>
      </c>
      <c r="D50">
        <v>2</v>
      </c>
      <c r="E50" s="3">
        <v>4.79</v>
      </c>
      <c r="F50" s="3">
        <f>D50*E50</f>
        <v>9.58</v>
      </c>
      <c r="I50" t="s">
        <v>97</v>
      </c>
      <c r="J50" t="s">
        <v>480</v>
      </c>
      <c r="M50" s="39"/>
      <c r="N50" s="39"/>
      <c r="O50" s="39"/>
      <c r="P50" s="39"/>
      <c r="Q50" s="39"/>
    </row>
    <row r="51" spans="1:17" x14ac:dyDescent="0.3">
      <c r="A51" t="s">
        <v>460</v>
      </c>
      <c r="C51" t="s">
        <v>197</v>
      </c>
      <c r="D51">
        <v>1</v>
      </c>
      <c r="E51" s="3">
        <v>13.63</v>
      </c>
      <c r="F51" s="3">
        <f>E51*D51</f>
        <v>13.63</v>
      </c>
      <c r="J51" t="s">
        <v>481</v>
      </c>
    </row>
    <row r="52" spans="1:17" x14ac:dyDescent="0.3">
      <c r="A52" t="s">
        <v>462</v>
      </c>
      <c r="C52" t="s">
        <v>197</v>
      </c>
      <c r="D52">
        <v>2</v>
      </c>
      <c r="E52" s="3">
        <v>15.25</v>
      </c>
      <c r="F52" s="3">
        <f>D52*E52</f>
        <v>30.5</v>
      </c>
      <c r="J52" t="s">
        <v>482</v>
      </c>
    </row>
    <row r="53" spans="1:17" x14ac:dyDescent="0.3">
      <c r="A53" t="s">
        <v>457</v>
      </c>
      <c r="C53" t="s">
        <v>197</v>
      </c>
      <c r="D53">
        <v>1</v>
      </c>
      <c r="E53" s="3">
        <v>18.25</v>
      </c>
      <c r="F53" s="3">
        <f>D53*E53</f>
        <v>18.25</v>
      </c>
      <c r="J53" t="s">
        <v>483</v>
      </c>
      <c r="M53" t="s">
        <v>213</v>
      </c>
    </row>
    <row r="54" spans="1:17" x14ac:dyDescent="0.3">
      <c r="J54" t="s">
        <v>222</v>
      </c>
    </row>
    <row r="55" spans="1:17" x14ac:dyDescent="0.3">
      <c r="J55" t="s">
        <v>223</v>
      </c>
    </row>
    <row r="56" spans="1:17" x14ac:dyDescent="0.3">
      <c r="E56" s="1" t="s">
        <v>126</v>
      </c>
      <c r="F56">
        <f>SUM(F45:F55)</f>
        <v>674.34</v>
      </c>
    </row>
    <row r="57" spans="1:17" s="6" customFormat="1" x14ac:dyDescent="0.3">
      <c r="A57" s="8" t="s">
        <v>232</v>
      </c>
    </row>
    <row r="58" spans="1:17" x14ac:dyDescent="0.3">
      <c r="A58" t="s">
        <v>505</v>
      </c>
      <c r="C58" t="s">
        <v>504</v>
      </c>
      <c r="D58">
        <v>1</v>
      </c>
      <c r="E58" s="3">
        <v>19.98</v>
      </c>
      <c r="F58" s="3">
        <f>E58*D58</f>
        <v>19.98</v>
      </c>
      <c r="J58" t="s">
        <v>112</v>
      </c>
      <c r="K58" s="44" t="s">
        <v>506</v>
      </c>
    </row>
    <row r="59" spans="1:17" x14ac:dyDescent="0.3">
      <c r="A59" t="s">
        <v>508</v>
      </c>
      <c r="B59" t="s">
        <v>510</v>
      </c>
      <c r="C59" t="s">
        <v>509</v>
      </c>
      <c r="D59">
        <v>4</v>
      </c>
      <c r="E59" s="3">
        <v>35</v>
      </c>
      <c r="F59" s="3">
        <f>D59*E59</f>
        <v>140</v>
      </c>
      <c r="J59" t="s">
        <v>538</v>
      </c>
      <c r="K59" s="44" t="s">
        <v>511</v>
      </c>
    </row>
    <row r="60" spans="1:17" x14ac:dyDescent="0.3">
      <c r="A60" t="s">
        <v>518</v>
      </c>
      <c r="B60" t="s">
        <v>517</v>
      </c>
      <c r="C60" t="s">
        <v>509</v>
      </c>
      <c r="D60">
        <v>3</v>
      </c>
      <c r="E60" s="3">
        <v>21.5</v>
      </c>
      <c r="F60" s="3">
        <f>E60*D60</f>
        <v>64.5</v>
      </c>
      <c r="J60" t="s">
        <v>531</v>
      </c>
    </row>
    <row r="61" spans="1:17" x14ac:dyDescent="0.3">
      <c r="A61" t="s">
        <v>523</v>
      </c>
      <c r="B61" t="s">
        <v>524</v>
      </c>
      <c r="C61" t="s">
        <v>509</v>
      </c>
      <c r="D61">
        <f>D60</f>
        <v>3</v>
      </c>
      <c r="E61" s="3">
        <v>3.25</v>
      </c>
      <c r="F61" s="3">
        <f>E61*D61</f>
        <v>9.75</v>
      </c>
      <c r="J61" t="s">
        <v>537</v>
      </c>
    </row>
    <row r="62" spans="1:17" x14ac:dyDescent="0.3">
      <c r="A62" t="s">
        <v>519</v>
      </c>
      <c r="B62" t="s">
        <v>520</v>
      </c>
      <c r="C62" t="s">
        <v>509</v>
      </c>
      <c r="D62">
        <v>1</v>
      </c>
      <c r="E62" s="3">
        <v>22</v>
      </c>
      <c r="F62" s="3">
        <f>E62*D62</f>
        <v>22</v>
      </c>
      <c r="J62" t="s">
        <v>532</v>
      </c>
    </row>
    <row r="63" spans="1:17" x14ac:dyDescent="0.3">
      <c r="A63" t="s">
        <v>525</v>
      </c>
      <c r="B63" t="s">
        <v>526</v>
      </c>
      <c r="C63" t="s">
        <v>509</v>
      </c>
      <c r="D63">
        <f>D62</f>
        <v>1</v>
      </c>
      <c r="E63" s="3">
        <v>3.5</v>
      </c>
      <c r="F63" s="3">
        <f>E63*D63</f>
        <v>3.5</v>
      </c>
      <c r="J63" t="s">
        <v>537</v>
      </c>
    </row>
    <row r="64" spans="1:17" x14ac:dyDescent="0.3">
      <c r="D64" t="s">
        <v>233</v>
      </c>
      <c r="J64" t="s">
        <v>234</v>
      </c>
    </row>
    <row r="65" spans="1:10" x14ac:dyDescent="0.3">
      <c r="D65">
        <v>1</v>
      </c>
      <c r="J65" t="s">
        <v>235</v>
      </c>
    </row>
    <row r="66" spans="1:10" x14ac:dyDescent="0.3">
      <c r="J66" t="s">
        <v>236</v>
      </c>
    </row>
    <row r="68" spans="1:10" x14ac:dyDescent="0.3">
      <c r="E68" s="1" t="s">
        <v>126</v>
      </c>
      <c r="F68">
        <f>SUM(F58:F66)</f>
        <v>259.73</v>
      </c>
    </row>
    <row r="69" spans="1:10" s="18" customFormat="1" x14ac:dyDescent="0.3">
      <c r="A69" s="19" t="s">
        <v>192</v>
      </c>
    </row>
    <row r="70" spans="1:10" x14ac:dyDescent="0.3">
      <c r="J70" t="s">
        <v>219</v>
      </c>
    </row>
    <row r="71" spans="1:10" x14ac:dyDescent="0.3">
      <c r="J71" t="s">
        <v>220</v>
      </c>
    </row>
    <row r="72" spans="1:10" x14ac:dyDescent="0.3">
      <c r="J72" t="s">
        <v>221</v>
      </c>
    </row>
    <row r="73" spans="1:10" x14ac:dyDescent="0.3">
      <c r="E73" s="1" t="s">
        <v>126</v>
      </c>
      <c r="F73">
        <f>SUM(F70:F72)</f>
        <v>0</v>
      </c>
    </row>
    <row r="74" spans="1:10" s="18" customFormat="1" x14ac:dyDescent="0.3">
      <c r="A74" s="19" t="s">
        <v>205</v>
      </c>
    </row>
    <row r="75" spans="1:10" x14ac:dyDescent="0.3">
      <c r="J75" t="s">
        <v>228</v>
      </c>
    </row>
    <row r="76" spans="1:10" x14ac:dyDescent="0.3">
      <c r="J76" t="s">
        <v>229</v>
      </c>
    </row>
    <row r="77" spans="1:10" x14ac:dyDescent="0.3">
      <c r="J77" t="s">
        <v>230</v>
      </c>
    </row>
    <row r="78" spans="1:10" x14ac:dyDescent="0.3">
      <c r="J78" t="s">
        <v>231</v>
      </c>
    </row>
    <row r="79" spans="1:10" x14ac:dyDescent="0.3">
      <c r="E79" s="1" t="s">
        <v>126</v>
      </c>
      <c r="F79">
        <f>SUM(F75:F78)</f>
        <v>0</v>
      </c>
    </row>
    <row r="80" spans="1:10" s="18" customFormat="1" x14ac:dyDescent="0.3">
      <c r="A80" s="19" t="s">
        <v>237</v>
      </c>
    </row>
    <row r="81" spans="1:10" x14ac:dyDescent="0.3">
      <c r="D81">
        <v>1</v>
      </c>
      <c r="J81" t="s">
        <v>238</v>
      </c>
    </row>
    <row r="82" spans="1:10" x14ac:dyDescent="0.3">
      <c r="D82">
        <v>2</v>
      </c>
      <c r="J82" t="s">
        <v>242</v>
      </c>
    </row>
    <row r="83" spans="1:10" x14ac:dyDescent="0.3">
      <c r="J83" t="s">
        <v>239</v>
      </c>
    </row>
    <row r="84" spans="1:10" x14ac:dyDescent="0.3">
      <c r="D84">
        <v>4</v>
      </c>
      <c r="J84" t="s">
        <v>240</v>
      </c>
    </row>
    <row r="85" spans="1:10" x14ac:dyDescent="0.3">
      <c r="J85" t="s">
        <v>241</v>
      </c>
    </row>
    <row r="86" spans="1:10" x14ac:dyDescent="0.3">
      <c r="E86" s="1" t="s">
        <v>126</v>
      </c>
      <c r="F86">
        <f>SUM(F81:F85)</f>
        <v>0</v>
      </c>
    </row>
    <row r="87" spans="1:10" x14ac:dyDescent="0.3">
      <c r="E87" s="1"/>
    </row>
    <row r="88" spans="1:10" s="18" customFormat="1" x14ac:dyDescent="0.3">
      <c r="A88" s="19" t="s">
        <v>421</v>
      </c>
    </row>
    <row r="89" spans="1:10" x14ac:dyDescent="0.3">
      <c r="A89" t="s">
        <v>422</v>
      </c>
      <c r="D89">
        <v>1</v>
      </c>
      <c r="E89">
        <v>120</v>
      </c>
      <c r="F89">
        <f>E89*D89</f>
        <v>120</v>
      </c>
      <c r="J89" t="s">
        <v>492</v>
      </c>
    </row>
    <row r="90" spans="1:10" x14ac:dyDescent="0.3">
      <c r="A90" t="s">
        <v>493</v>
      </c>
      <c r="D90">
        <v>3</v>
      </c>
      <c r="E90">
        <v>80</v>
      </c>
      <c r="F90">
        <f>E90*D90</f>
        <v>240</v>
      </c>
      <c r="J90" t="s">
        <v>494</v>
      </c>
    </row>
    <row r="91" spans="1:10" x14ac:dyDescent="0.3">
      <c r="A91" t="s">
        <v>495</v>
      </c>
    </row>
    <row r="92" spans="1:10" x14ac:dyDescent="0.3">
      <c r="E92" s="1" t="s">
        <v>126</v>
      </c>
      <c r="F92">
        <f>SUM(F89:F91)</f>
        <v>360</v>
      </c>
    </row>
    <row r="94" spans="1:10" x14ac:dyDescent="0.3">
      <c r="E94" s="1" t="s">
        <v>398</v>
      </c>
      <c r="F94">
        <f>SUM(F86,F79,F73,F68,F56,F43,F37,F19,F11,)</f>
        <v>2256.1400000000003</v>
      </c>
    </row>
  </sheetData>
  <hyperlinks>
    <hyperlink ref="K58" r:id="rId1" xr:uid="{00000000-0004-0000-0500-000000000000}"/>
    <hyperlink ref="K59" r:id="rId2" display="https://www.automationdirect.com/adc/shopping/catalog/pneumatic_components/pneumatic_solenoid_directional_control_valves_-a-_accessories/5-port_(4-way),_2-pos.,_body_ported_-z-_manifold_(avs-5,am_series)/avs-5312-24d?gclid=CjwKCAiA4Y7yBRB8EiwADV1habD_SbEe2RJpYAjn4iKfgaApzAHAxhHZLR9NOJrPUy1lFEvuAuS0-RoC8GsQAvD_BwE" xr:uid="{00000000-0004-0000-0500-000001000000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Combustion Analysis</vt:lpstr>
      <vt:lpstr>Engine Requirements</vt:lpstr>
      <vt:lpstr>Test and practical stuff</vt:lpstr>
      <vt:lpstr>Strength Analysis</vt:lpstr>
      <vt:lpstr>Solution of Isentropic Expansio</vt:lpstr>
      <vt:lpstr>Sheet1</vt:lpstr>
      <vt:lpstr>Prices</vt:lpstr>
      <vt:lpstr>Parts List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2025-03-04T06:59:17Z</dcterms:modified>
</cp:coreProperties>
</file>