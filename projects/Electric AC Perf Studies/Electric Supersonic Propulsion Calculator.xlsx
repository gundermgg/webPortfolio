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nde\Documents\Projects\Electric Aircraft Performance Study\Electric Jet\"/>
    </mc:Choice>
  </mc:AlternateContent>
  <xr:revisionPtr revIDLastSave="0" documentId="13_ncr:1_{35D20476-6178-406D-825E-D9A6FD937E31}" xr6:coauthVersionLast="47" xr6:coauthVersionMax="47" xr10:uidLastSave="{00000000-0000-0000-0000-000000000000}"/>
  <bookViews>
    <workbookView xWindow="-120" yWindow="-120" windowWidth="29040" windowHeight="15720" xr2:uid="{E000DF61-D6FB-415D-B892-E7E02C4BDA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6" i="1" l="1"/>
  <c r="B35" i="1"/>
  <c r="B29" i="1"/>
  <c r="D29" i="1" s="1"/>
  <c r="B24" i="1"/>
  <c r="B25" i="1" s="1"/>
  <c r="D25" i="1" s="1"/>
  <c r="B6" i="1"/>
  <c r="B4" i="1"/>
  <c r="D4" i="1" s="1"/>
  <c r="B37" i="1" l="1"/>
  <c r="B32" i="1"/>
  <c r="B33" i="1" s="1"/>
  <c r="B7" i="1"/>
  <c r="F32" i="1" l="1"/>
  <c r="D32" i="1"/>
  <c r="B38" i="1" s="1"/>
  <c r="B10" i="1"/>
  <c r="B11" i="1"/>
  <c r="D11" i="1" s="1"/>
  <c r="B15" i="1"/>
  <c r="D38" i="1" l="1"/>
  <c r="B39" i="1"/>
  <c r="D39" i="1" s="1"/>
  <c r="F39" i="1" s="1"/>
</calcChain>
</file>

<file path=xl/sharedStrings.xml><?xml version="1.0" encoding="utf-8"?>
<sst xmlns="http://schemas.openxmlformats.org/spreadsheetml/2006/main" count="77" uniqueCount="62">
  <si>
    <t>Exhaust Velocity:</t>
  </si>
  <si>
    <t>m/s</t>
  </si>
  <si>
    <t>Area:</t>
  </si>
  <si>
    <t>Reference Area:</t>
  </si>
  <si>
    <t>m^2</t>
  </si>
  <si>
    <t>cm^2</t>
  </si>
  <si>
    <t>Inlet/outlet diameter:</t>
  </si>
  <si>
    <t>cm</t>
  </si>
  <si>
    <t>Air Denisty at SL:</t>
  </si>
  <si>
    <t>kg/m^3</t>
  </si>
  <si>
    <t>flow through</t>
  </si>
  <si>
    <t>Mass flow</t>
  </si>
  <si>
    <t>kg/(m^2*s)</t>
  </si>
  <si>
    <t>kg/s</t>
  </si>
  <si>
    <t>Assumed initial velocity:</t>
  </si>
  <si>
    <t>Thrust:</t>
  </si>
  <si>
    <t>Supersonic Electric Jet Calculator</t>
  </si>
  <si>
    <t>Energy per kg: (per Grok)</t>
  </si>
  <si>
    <t>J/kg</t>
  </si>
  <si>
    <t>Kw (kJ/s)</t>
  </si>
  <si>
    <t>kw</t>
  </si>
  <si>
    <t>Grok's energy assumption:</t>
  </si>
  <si>
    <t>W</t>
  </si>
  <si>
    <t>Power Est:</t>
  </si>
  <si>
    <t>hp</t>
  </si>
  <si>
    <t>V</t>
  </si>
  <si>
    <t>Discharge Rating:</t>
  </si>
  <si>
    <t>C</t>
  </si>
  <si>
    <t>Output Voltage</t>
  </si>
  <si>
    <t>Capacity:</t>
  </si>
  <si>
    <t>ah</t>
  </si>
  <si>
    <t>Amps</t>
  </si>
  <si>
    <t>A</t>
  </si>
  <si>
    <t>Max Power:</t>
  </si>
  <si>
    <t>EDF ID:</t>
  </si>
  <si>
    <t>in</t>
  </si>
  <si>
    <t>EDF OD:</t>
  </si>
  <si>
    <t>in^2</t>
  </si>
  <si>
    <t>Air Density at SL:</t>
  </si>
  <si>
    <t>in/s</t>
  </si>
  <si>
    <t>slug/ft^3</t>
  </si>
  <si>
    <t>ft-lbs/s</t>
  </si>
  <si>
    <t>ft/s</t>
  </si>
  <si>
    <t>lbs</t>
  </si>
  <si>
    <t>ft^2</t>
  </si>
  <si>
    <t>Initial Velocity:</t>
  </si>
  <si>
    <t>% "Mach"</t>
  </si>
  <si>
    <t>Max Performance from my Battery</t>
  </si>
  <si>
    <t>deg</t>
  </si>
  <si>
    <t>Est Blade Tip Angle:</t>
  </si>
  <si>
    <t>Advance Ratio:</t>
  </si>
  <si>
    <t>Circumference:</t>
  </si>
  <si>
    <t>Advance Distance:</t>
  </si>
  <si>
    <t>dim</t>
  </si>
  <si>
    <t>RPM required:</t>
  </si>
  <si>
    <t>rev/s</t>
  </si>
  <si>
    <t>RPM</t>
  </si>
  <si>
    <t>Tip Speed:</t>
  </si>
  <si>
    <t>EDF Flow Calculator</t>
  </si>
  <si>
    <t>Throttle</t>
  </si>
  <si>
    <t>rpm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</si>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</sst>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</cellStyleXfs>
  <cellXfs count="7">
    <xf numFmtId="0" fontId="0" fillId="0" borderId="0" xfId="0"/>
    <xf numFmtId="0" fontId="3" fillId="0" borderId="0" xfId="0" applyFont="1"/>
    <xf numFmtId="2" fontId="0" fillId="0" borderId="0" xfId="0" applyNumberFormat="1"/>
    <xf numFmtId="164" fontId="0" fillId="0" borderId="0" xfId="0" applyNumberFormat="1"/>
    <xf numFmtId="0" fontId="2" fillId="2" borderId="1" xfId="2"/>
    <xf numFmtId="1" fontId="0" fillId="0" borderId="0" xfId="0" applyNumberFormat="1"/>
    <xf numFmtId="9" fontId="0" fillId="0" borderId="0" xfId="1" applyFont="1"/>
  </cellXfs>
  <cellStyles count="3">
    <cellStyle name="Input" xfId="2" builtinId="20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My 70mm EDF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Sheet1!$I$26:$I$28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0.15</c:v>
                </c:pt>
              </c:numCache>
            </c:numRef>
          </c:xVal>
          <c:yVal>
            <c:numRef>
              <c:f>Sheet1!$J$26:$J$28</c:f>
              <c:numCache>
                <c:formatCode>General</c:formatCode>
                <c:ptCount val="3"/>
                <c:pt idx="0">
                  <c:v>0</c:v>
                </c:pt>
                <c:pt idx="1">
                  <c:v>966</c:v>
                </c:pt>
                <c:pt idx="2">
                  <c:v>1467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B6-436F-9AC6-F9FA7FF8C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0572528"/>
        <c:axId val="1220571088"/>
      </c:scatterChart>
      <c:valAx>
        <c:axId val="1220572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571088"/>
        <c:crosses val="autoZero"/>
        <c:crossBetween val="midCat"/>
      </c:valAx>
      <c:valAx>
        <c:axId val="122057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572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29</xdr:row>
      <xdr:rowOff>7620</xdr:rowOff>
    </xdr:from>
    <xdr:to>
      <xdr:col>15</xdr:col>
      <xdr:colOff>304800</xdr:colOff>
      <xdr:row>44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632910-AEAF-F32E-5BE8-8D7CDA15AC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9267B-2640-47A7-ABDF-745D7959E908}">
  <dimension ref="A1:M39"/>
  <sheetViews>
    <sheetView tabSelected="1" workbookViewId="0">
      <selection activeCell="F16" sqref="F16"/>
    </sheetView>
  </sheetViews>
  <sheetFormatPr defaultRowHeight="15" x14ac:dyDescent="0.25"/>
  <cols>
    <col min="1" max="1" width="20.7109375" bestFit="1" customWidth="1"/>
    <col min="2" max="2" width="11" bestFit="1" customWidth="1"/>
  </cols>
  <sheetData>
    <row r="1" spans="1:5" x14ac:dyDescent="0.25">
      <c r="A1" s="1" t="s">
        <v>16</v>
      </c>
    </row>
    <row r="2" spans="1:5" x14ac:dyDescent="0.25">
      <c r="A2" t="s">
        <v>0</v>
      </c>
      <c r="B2" s="4">
        <v>612</v>
      </c>
      <c r="C2" t="s">
        <v>1</v>
      </c>
    </row>
    <row r="3" spans="1:5" x14ac:dyDescent="0.25">
      <c r="A3" t="s">
        <v>6</v>
      </c>
      <c r="B3" s="4">
        <v>4</v>
      </c>
      <c r="C3" t="s">
        <v>7</v>
      </c>
    </row>
    <row r="4" spans="1:5" x14ac:dyDescent="0.25">
      <c r="A4" t="s">
        <v>3</v>
      </c>
      <c r="B4" s="2">
        <f>PI()*(B3/2)^2</f>
        <v>12.566370614359172</v>
      </c>
      <c r="C4" t="s">
        <v>5</v>
      </c>
      <c r="D4">
        <f>B4/10000</f>
        <v>1.2566370614359172E-3</v>
      </c>
      <c r="E4" t="s">
        <v>4</v>
      </c>
    </row>
    <row r="5" spans="1:5" x14ac:dyDescent="0.25">
      <c r="A5" t="s">
        <v>8</v>
      </c>
      <c r="B5" s="4">
        <v>1.2250000000000001</v>
      </c>
      <c r="C5" t="s">
        <v>9</v>
      </c>
    </row>
    <row r="6" spans="1:5" x14ac:dyDescent="0.25">
      <c r="A6" t="s">
        <v>10</v>
      </c>
      <c r="B6">
        <f>B5*B2</f>
        <v>749.7</v>
      </c>
      <c r="C6" t="s">
        <v>12</v>
      </c>
    </row>
    <row r="7" spans="1:5" x14ac:dyDescent="0.25">
      <c r="A7" t="s">
        <v>11</v>
      </c>
      <c r="B7" s="2">
        <f>B6*D4</f>
        <v>0.94210080495850723</v>
      </c>
      <c r="C7" t="s">
        <v>13</v>
      </c>
    </row>
    <row r="9" spans="1:5" x14ac:dyDescent="0.25">
      <c r="A9" t="s">
        <v>14</v>
      </c>
      <c r="B9" s="4">
        <v>0</v>
      </c>
      <c r="C9" t="s">
        <v>1</v>
      </c>
    </row>
    <row r="10" spans="1:5" x14ac:dyDescent="0.25">
      <c r="A10" t="s">
        <v>15</v>
      </c>
      <c r="B10" s="3">
        <f>B7*(B2-B9)</f>
        <v>576.56569263460642</v>
      </c>
    </row>
    <row r="11" spans="1:5" x14ac:dyDescent="0.25">
      <c r="A11" t="s">
        <v>23</v>
      </c>
      <c r="B11" s="3">
        <f>(0.5*B7*(B2-B9)^2)/1000</f>
        <v>176.42910194618958</v>
      </c>
      <c r="C11" t="s">
        <v>20</v>
      </c>
      <c r="D11" s="5">
        <f>B11*100/75</f>
        <v>235.23880259491943</v>
      </c>
      <c r="E11" t="s">
        <v>24</v>
      </c>
    </row>
    <row r="13" spans="1:5" x14ac:dyDescent="0.25">
      <c r="A13" s="1" t="s">
        <v>21</v>
      </c>
    </row>
    <row r="14" spans="1:5" x14ac:dyDescent="0.25">
      <c r="A14" t="s">
        <v>17</v>
      </c>
      <c r="B14">
        <v>187000</v>
      </c>
      <c r="C14" t="s">
        <v>18</v>
      </c>
    </row>
    <row r="15" spans="1:5" x14ac:dyDescent="0.25">
      <c r="A15" t="s">
        <v>19</v>
      </c>
      <c r="B15" s="5">
        <f>B14*B7/1000</f>
        <v>176.17285052724085</v>
      </c>
      <c r="C15" t="s">
        <v>20</v>
      </c>
    </row>
    <row r="16" spans="1:5" x14ac:dyDescent="0.25">
      <c r="B16" s="5"/>
    </row>
    <row r="17" spans="1:13" x14ac:dyDescent="0.25">
      <c r="B17" s="5"/>
    </row>
    <row r="18" spans="1:13" x14ac:dyDescent="0.25">
      <c r="B18" s="5"/>
    </row>
    <row r="20" spans="1:13" x14ac:dyDescent="0.25">
      <c r="A20" s="1" t="s">
        <v>47</v>
      </c>
    </row>
    <row r="21" spans="1:13" x14ac:dyDescent="0.25">
      <c r="A21" t="s">
        <v>29</v>
      </c>
      <c r="B21" s="4">
        <v>4</v>
      </c>
      <c r="C21" t="s">
        <v>30</v>
      </c>
    </row>
    <row r="22" spans="1:13" x14ac:dyDescent="0.25">
      <c r="A22" t="s">
        <v>26</v>
      </c>
      <c r="B22" s="4">
        <v>45</v>
      </c>
      <c r="C22" t="s">
        <v>27</v>
      </c>
    </row>
    <row r="23" spans="1:13" x14ac:dyDescent="0.25">
      <c r="A23" t="s">
        <v>28</v>
      </c>
      <c r="B23" s="4">
        <v>22.2</v>
      </c>
      <c r="C23" t="s">
        <v>25</v>
      </c>
    </row>
    <row r="24" spans="1:13" x14ac:dyDescent="0.25">
      <c r="A24" t="s">
        <v>31</v>
      </c>
      <c r="B24">
        <f>B21*B22</f>
        <v>180</v>
      </c>
      <c r="C24" t="s">
        <v>32</v>
      </c>
    </row>
    <row r="25" spans="1:13" x14ac:dyDescent="0.25">
      <c r="A25" t="s">
        <v>33</v>
      </c>
      <c r="B25">
        <f>B24*B23</f>
        <v>3996</v>
      </c>
      <c r="C25" t="s">
        <v>22</v>
      </c>
      <c r="D25">
        <f>B25*0.73756</f>
        <v>2947.2897600000001</v>
      </c>
      <c r="E25" t="s">
        <v>41</v>
      </c>
      <c r="I25" t="s">
        <v>59</v>
      </c>
      <c r="L25" t="s">
        <v>61</v>
      </c>
    </row>
    <row r="26" spans="1:13" x14ac:dyDescent="0.25">
      <c r="A26" s="1" t="s">
        <v>58</v>
      </c>
      <c r="I26" s="6">
        <v>0</v>
      </c>
      <c r="J26">
        <v>0</v>
      </c>
      <c r="L26">
        <v>0</v>
      </c>
      <c r="M26" t="s">
        <v>22</v>
      </c>
    </row>
    <row r="27" spans="1:13" x14ac:dyDescent="0.25">
      <c r="A27" t="s">
        <v>36</v>
      </c>
      <c r="B27" s="4">
        <v>2.7</v>
      </c>
      <c r="C27" t="s">
        <v>35</v>
      </c>
      <c r="I27" s="6">
        <v>0.1</v>
      </c>
      <c r="J27">
        <v>966</v>
      </c>
      <c r="K27" t="s">
        <v>60</v>
      </c>
      <c r="L27">
        <v>30</v>
      </c>
      <c r="M27" t="s">
        <v>22</v>
      </c>
    </row>
    <row r="28" spans="1:13" x14ac:dyDescent="0.25">
      <c r="A28" t="s">
        <v>34</v>
      </c>
      <c r="B28" s="4">
        <v>1.125</v>
      </c>
      <c r="C28" t="s">
        <v>35</v>
      </c>
      <c r="I28" s="6">
        <v>0.15</v>
      </c>
      <c r="J28">
        <v>1467</v>
      </c>
      <c r="K28" t="s">
        <v>60</v>
      </c>
      <c r="L28">
        <v>80</v>
      </c>
      <c r="M28" t="s">
        <v>22</v>
      </c>
    </row>
    <row r="29" spans="1:13" x14ac:dyDescent="0.25">
      <c r="A29" t="s">
        <v>2</v>
      </c>
      <c r="B29" s="2">
        <f>PI()*((B27/2^2)-(B28/2^2))</f>
        <v>1.2370021073509812</v>
      </c>
      <c r="C29" t="s">
        <v>37</v>
      </c>
      <c r="D29">
        <f>B29/144</f>
        <v>8.5902924121595906E-3</v>
      </c>
      <c r="E29" t="s">
        <v>44</v>
      </c>
    </row>
    <row r="30" spans="1:13" x14ac:dyDescent="0.25">
      <c r="A30" t="s">
        <v>38</v>
      </c>
      <c r="B30" s="4">
        <v>2.3800000000000002E-3</v>
      </c>
      <c r="C30" t="s">
        <v>40</v>
      </c>
    </row>
    <row r="31" spans="1:13" x14ac:dyDescent="0.25">
      <c r="A31" t="s">
        <v>45</v>
      </c>
      <c r="B31" s="4">
        <v>0</v>
      </c>
      <c r="C31" t="s">
        <v>42</v>
      </c>
    </row>
    <row r="32" spans="1:13" x14ac:dyDescent="0.25">
      <c r="A32" t="s">
        <v>0</v>
      </c>
      <c r="B32" s="3">
        <f>((2*D25)/(B30*D29))^(1/3)</f>
        <v>660.62647675778942</v>
      </c>
      <c r="C32" t="s">
        <v>42</v>
      </c>
      <c r="D32">
        <f>B32*12</f>
        <v>7927.5177210934726</v>
      </c>
      <c r="E32" t="s">
        <v>39</v>
      </c>
      <c r="F32" s="2">
        <f>B32/1125</f>
        <v>0.5872235348958128</v>
      </c>
      <c r="G32" t="s">
        <v>46</v>
      </c>
    </row>
    <row r="33" spans="1:7" x14ac:dyDescent="0.25">
      <c r="A33" t="s">
        <v>15</v>
      </c>
      <c r="B33" s="3">
        <f>B30*D29*B32*B32</f>
        <v>8.9227115887472497</v>
      </c>
      <c r="C33" t="s">
        <v>43</v>
      </c>
    </row>
    <row r="34" spans="1:7" x14ac:dyDescent="0.25">
      <c r="A34" t="s">
        <v>49</v>
      </c>
      <c r="B34" s="2">
        <v>35</v>
      </c>
      <c r="C34" t="s">
        <v>48</v>
      </c>
    </row>
    <row r="35" spans="1:7" x14ac:dyDescent="0.25">
      <c r="A35" t="s">
        <v>50</v>
      </c>
      <c r="B35">
        <f>SIN(RADIANS(B34))</f>
        <v>0.57357643635104605</v>
      </c>
      <c r="C35" t="s">
        <v>53</v>
      </c>
    </row>
    <row r="36" spans="1:7" x14ac:dyDescent="0.25">
      <c r="A36" t="s">
        <v>51</v>
      </c>
      <c r="B36">
        <f>B27*PI()</f>
        <v>8.4823001646924414</v>
      </c>
      <c r="C36" t="s">
        <v>35</v>
      </c>
    </row>
    <row r="37" spans="1:7" x14ac:dyDescent="0.25">
      <c r="A37" t="s">
        <v>52</v>
      </c>
      <c r="B37" s="2">
        <f>B36*B35</f>
        <v>4.8652475005241813</v>
      </c>
      <c r="C37" t="s">
        <v>35</v>
      </c>
    </row>
    <row r="38" spans="1:7" x14ac:dyDescent="0.25">
      <c r="A38" t="s">
        <v>54</v>
      </c>
      <c r="B38" s="5">
        <f>D32/B37</f>
        <v>1629.4171509752305</v>
      </c>
      <c r="C38" t="s">
        <v>55</v>
      </c>
      <c r="D38" s="5">
        <f>B38*60</f>
        <v>97765.029058513828</v>
      </c>
      <c r="E38" t="s">
        <v>56</v>
      </c>
    </row>
    <row r="39" spans="1:7" x14ac:dyDescent="0.25">
      <c r="A39" t="s">
        <v>57</v>
      </c>
      <c r="B39" s="5">
        <f>B38*2*PI()*B27/2</f>
        <v>13821.205368069888</v>
      </c>
      <c r="C39" t="s">
        <v>39</v>
      </c>
      <c r="D39">
        <f>B39/12</f>
        <v>1151.7671140058239</v>
      </c>
      <c r="E39" t="s">
        <v>42</v>
      </c>
      <c r="F39" s="2">
        <f>D39/1125</f>
        <v>1.023792990227399</v>
      </c>
      <c r="G39" t="s">
        <v>46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Gunderman</dc:creator>
  <cp:lastModifiedBy>Michael Gunderman</cp:lastModifiedBy>
  <dcterms:created xsi:type="dcterms:W3CDTF">2025-01-02T17:50:34Z</dcterms:created>
  <dcterms:modified xsi:type="dcterms:W3CDTF">2025-02-23T15:53:24Z</dcterms:modified>
</cp:coreProperties>
</file>