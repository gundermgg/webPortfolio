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de\Documents\Projects\webPortfolio\projects\Roadster\"/>
    </mc:Choice>
  </mc:AlternateContent>
  <xr:revisionPtr revIDLastSave="0" documentId="13_ncr:1_{FC988B65-5BDD-4EB8-B1AB-9A7456E3961D}" xr6:coauthVersionLast="47" xr6:coauthVersionMax="47" xr10:uidLastSave="{00000000-0000-0000-0000-000000000000}"/>
  <bookViews>
    <workbookView xWindow="-108" yWindow="-108" windowWidth="23256" windowHeight="12456" firstSheet="2" activeTab="6" xr2:uid="{F248A670-0C1B-474A-84E0-E5636FD260E1}"/>
  </bookViews>
  <sheets>
    <sheet name="AR5 Gear Ratios" sheetId="1" r:id="rId1"/>
    <sheet name="W&amp;B" sheetId="7" r:id="rId2"/>
    <sheet name="Components" sheetId="8" r:id="rId3"/>
    <sheet name="Drivetrain" sheetId="9" r:id="rId4"/>
    <sheet name="Acceleration Inputs" sheetId="2" r:id="rId5"/>
    <sheet name="Torque Curve Estimation" sheetId="5" r:id="rId6"/>
    <sheet name="Torque Curve Estimation w drag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8" l="1"/>
  <c r="L38" i="8"/>
  <c r="L36" i="8"/>
  <c r="I40" i="7"/>
  <c r="E74" i="7"/>
  <c r="G74" i="7" s="1"/>
  <c r="E71" i="7"/>
  <c r="G71" i="7" s="1"/>
  <c r="E69" i="7"/>
  <c r="I69" i="7"/>
  <c r="I48" i="7"/>
  <c r="I28" i="7"/>
  <c r="I11" i="7"/>
  <c r="I12" i="7"/>
  <c r="I13" i="7"/>
  <c r="I14" i="7"/>
  <c r="I5" i="7"/>
  <c r="I6" i="7"/>
  <c r="I7" i="7"/>
  <c r="I8" i="7"/>
  <c r="I9" i="7"/>
  <c r="I3" i="7"/>
  <c r="I4" i="7"/>
  <c r="I15" i="7"/>
  <c r="I18" i="7"/>
  <c r="I19" i="7"/>
  <c r="I20" i="7"/>
  <c r="I21" i="7"/>
  <c r="I22" i="7"/>
  <c r="I23" i="7"/>
  <c r="I24" i="7"/>
  <c r="I25" i="7"/>
  <c r="I26" i="7"/>
  <c r="I29" i="7"/>
  <c r="I30" i="7"/>
  <c r="I31" i="7"/>
  <c r="I32" i="7"/>
  <c r="I33" i="7"/>
  <c r="I34" i="7"/>
  <c r="I35" i="7"/>
  <c r="I36" i="7"/>
  <c r="I37" i="7"/>
  <c r="I38" i="7"/>
  <c r="I39" i="7"/>
  <c r="I41" i="7"/>
  <c r="I42" i="7"/>
  <c r="I43" i="7"/>
  <c r="I44" i="7"/>
  <c r="I45" i="7"/>
  <c r="I47" i="7"/>
  <c r="I49" i="7"/>
  <c r="I50" i="7"/>
  <c r="I51" i="7"/>
  <c r="I52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70" i="7"/>
  <c r="I71" i="7"/>
  <c r="I72" i="7"/>
  <c r="I73" i="7"/>
  <c r="I75" i="7"/>
  <c r="I76" i="7"/>
  <c r="I77" i="7"/>
  <c r="I78" i="7"/>
  <c r="I79" i="7"/>
  <c r="I2" i="7"/>
  <c r="E41" i="7"/>
  <c r="G41" i="7" s="1"/>
  <c r="E42" i="7"/>
  <c r="G42" i="7" s="1"/>
  <c r="E25" i="7"/>
  <c r="G25" i="7" s="1"/>
  <c r="E24" i="7"/>
  <c r="G24" i="7" s="1"/>
  <c r="E23" i="7"/>
  <c r="G23" i="7" s="1"/>
  <c r="AH3" i="6"/>
  <c r="AH2" i="6"/>
  <c r="U3" i="5"/>
  <c r="U2" i="5"/>
  <c r="AG3" i="6"/>
  <c r="AG2" i="6"/>
  <c r="T3" i="5"/>
  <c r="T2" i="5"/>
  <c r="E66" i="5" s="1"/>
  <c r="G26" i="7"/>
  <c r="G27" i="7"/>
  <c r="G67" i="7"/>
  <c r="G77" i="7"/>
  <c r="G78" i="7"/>
  <c r="G79" i="7"/>
  <c r="E4" i="7"/>
  <c r="G4" i="7" s="1"/>
  <c r="E5" i="7"/>
  <c r="G5" i="7" s="1"/>
  <c r="E6" i="7"/>
  <c r="G6" i="7" s="1"/>
  <c r="E7" i="7"/>
  <c r="G7" i="7" s="1"/>
  <c r="E9" i="7"/>
  <c r="G9" i="7" s="1"/>
  <c r="E10" i="7"/>
  <c r="G10" i="7" s="1"/>
  <c r="E11" i="7"/>
  <c r="G11" i="7" s="1"/>
  <c r="E12" i="7"/>
  <c r="G12" i="7" s="1"/>
  <c r="E13" i="7"/>
  <c r="G13" i="7" s="1"/>
  <c r="E14" i="7"/>
  <c r="G14" i="7" s="1"/>
  <c r="E15" i="7"/>
  <c r="G15" i="7" s="1"/>
  <c r="E16" i="7"/>
  <c r="G16" i="7" s="1"/>
  <c r="E17" i="7"/>
  <c r="G17" i="7" s="1"/>
  <c r="E18" i="7"/>
  <c r="G18" i="7" s="1"/>
  <c r="E19" i="7"/>
  <c r="G19" i="7" s="1"/>
  <c r="E20" i="7"/>
  <c r="G20" i="7" s="1"/>
  <c r="E21" i="7"/>
  <c r="G21" i="7" s="1"/>
  <c r="E22" i="7"/>
  <c r="G22" i="7" s="1"/>
  <c r="E28" i="7"/>
  <c r="G28" i="7" s="1"/>
  <c r="E29" i="7"/>
  <c r="G29" i="7" s="1"/>
  <c r="E30" i="7"/>
  <c r="G30" i="7" s="1"/>
  <c r="E31" i="7"/>
  <c r="G31" i="7" s="1"/>
  <c r="E32" i="7"/>
  <c r="G32" i="7" s="1"/>
  <c r="E33" i="7"/>
  <c r="G33" i="7" s="1"/>
  <c r="E34" i="7"/>
  <c r="G34" i="7" s="1"/>
  <c r="E35" i="7"/>
  <c r="G35" i="7" s="1"/>
  <c r="E36" i="7"/>
  <c r="G36" i="7" s="1"/>
  <c r="E37" i="7"/>
  <c r="G37" i="7" s="1"/>
  <c r="E38" i="7"/>
  <c r="G38" i="7" s="1"/>
  <c r="E39" i="7"/>
  <c r="G39" i="7" s="1"/>
  <c r="E40" i="7"/>
  <c r="G40" i="7" s="1"/>
  <c r="E43" i="7"/>
  <c r="G43" i="7" s="1"/>
  <c r="E44" i="7"/>
  <c r="G44" i="7" s="1"/>
  <c r="E45" i="7"/>
  <c r="G45" i="7" s="1"/>
  <c r="E46" i="7"/>
  <c r="G46" i="7" s="1"/>
  <c r="E49" i="7"/>
  <c r="G49" i="7" s="1"/>
  <c r="E50" i="7"/>
  <c r="G50" i="7" s="1"/>
  <c r="E51" i="7"/>
  <c r="G51" i="7" s="1"/>
  <c r="E52" i="7"/>
  <c r="G52" i="7" s="1"/>
  <c r="E53" i="7"/>
  <c r="G53" i="7" s="1"/>
  <c r="E54" i="7"/>
  <c r="G54" i="7" s="1"/>
  <c r="E55" i="7"/>
  <c r="G55" i="7" s="1"/>
  <c r="E56" i="7"/>
  <c r="G56" i="7" s="1"/>
  <c r="E57" i="7"/>
  <c r="G57" i="7" s="1"/>
  <c r="E58" i="7"/>
  <c r="G58" i="7" s="1"/>
  <c r="E59" i="7"/>
  <c r="G59" i="7" s="1"/>
  <c r="E60" i="7"/>
  <c r="G60" i="7" s="1"/>
  <c r="E61" i="7"/>
  <c r="G61" i="7" s="1"/>
  <c r="E62" i="7"/>
  <c r="G62" i="7" s="1"/>
  <c r="E63" i="7"/>
  <c r="G63" i="7" s="1"/>
  <c r="E64" i="7"/>
  <c r="G64" i="7" s="1"/>
  <c r="E65" i="7"/>
  <c r="G65" i="7" s="1"/>
  <c r="E66" i="7"/>
  <c r="G66" i="7" s="1"/>
  <c r="E68" i="7"/>
  <c r="G68" i="7" s="1"/>
  <c r="E70" i="7"/>
  <c r="G70" i="7" s="1"/>
  <c r="E72" i="7"/>
  <c r="G72" i="7" s="1"/>
  <c r="E73" i="7"/>
  <c r="G73" i="7" s="1"/>
  <c r="E75" i="7"/>
  <c r="G75" i="7" s="1"/>
  <c r="E76" i="7"/>
  <c r="G76" i="7" s="1"/>
  <c r="E3" i="7"/>
  <c r="G3" i="7" s="1"/>
  <c r="I80" i="7" l="1"/>
  <c r="E64" i="5"/>
  <c r="G64" i="5" s="1"/>
  <c r="E65" i="5"/>
  <c r="G65" i="5" s="1"/>
  <c r="G80" i="7"/>
  <c r="E80" i="7"/>
  <c r="C66" i="6"/>
  <c r="D66" i="6" s="1"/>
  <c r="C65" i="6"/>
  <c r="D65" i="6" s="1"/>
  <c r="C64" i="6"/>
  <c r="D64" i="6" s="1"/>
  <c r="E63" i="6"/>
  <c r="C63" i="6"/>
  <c r="D63" i="6" s="1"/>
  <c r="E62" i="6"/>
  <c r="G62" i="6" s="1"/>
  <c r="C62" i="6"/>
  <c r="D62" i="6" s="1"/>
  <c r="E61" i="6"/>
  <c r="G61" i="6" s="1"/>
  <c r="C61" i="6"/>
  <c r="D61" i="6" s="1"/>
  <c r="E60" i="6"/>
  <c r="G60" i="6" s="1"/>
  <c r="C60" i="6"/>
  <c r="D60" i="6" s="1"/>
  <c r="E59" i="6"/>
  <c r="G59" i="6" s="1"/>
  <c r="C59" i="6"/>
  <c r="D59" i="6" s="1"/>
  <c r="E58" i="6"/>
  <c r="G58" i="6" s="1"/>
  <c r="C58" i="6"/>
  <c r="D58" i="6" s="1"/>
  <c r="E57" i="6"/>
  <c r="F57" i="6" s="1"/>
  <c r="C57" i="6"/>
  <c r="D57" i="6" s="1"/>
  <c r="E56" i="6"/>
  <c r="G56" i="6" s="1"/>
  <c r="C56" i="6"/>
  <c r="D56" i="6" s="1"/>
  <c r="E55" i="6"/>
  <c r="G55" i="6" s="1"/>
  <c r="C55" i="6"/>
  <c r="D55" i="6" s="1"/>
  <c r="E54" i="6"/>
  <c r="G54" i="6" s="1"/>
  <c r="C54" i="6"/>
  <c r="D54" i="6" s="1"/>
  <c r="E53" i="6"/>
  <c r="F53" i="6" s="1"/>
  <c r="C53" i="6"/>
  <c r="D53" i="6" s="1"/>
  <c r="E52" i="6"/>
  <c r="G52" i="6" s="1"/>
  <c r="C52" i="6"/>
  <c r="D52" i="6" s="1"/>
  <c r="E51" i="6"/>
  <c r="F51" i="6" s="1"/>
  <c r="C51" i="6"/>
  <c r="D51" i="6" s="1"/>
  <c r="E50" i="6"/>
  <c r="G50" i="6" s="1"/>
  <c r="C50" i="6"/>
  <c r="D50" i="6" s="1"/>
  <c r="E49" i="6"/>
  <c r="F49" i="6" s="1"/>
  <c r="C49" i="6"/>
  <c r="D49" i="6" s="1"/>
  <c r="E48" i="6"/>
  <c r="G48" i="6" s="1"/>
  <c r="C48" i="6"/>
  <c r="D48" i="6" s="1"/>
  <c r="E47" i="6"/>
  <c r="F47" i="6" s="1"/>
  <c r="C47" i="6"/>
  <c r="D47" i="6" s="1"/>
  <c r="E46" i="6"/>
  <c r="F46" i="6" s="1"/>
  <c r="C46" i="6"/>
  <c r="D46" i="6" s="1"/>
  <c r="E45" i="6"/>
  <c r="F45" i="6" s="1"/>
  <c r="C45" i="6"/>
  <c r="D45" i="6" s="1"/>
  <c r="E44" i="6"/>
  <c r="G44" i="6" s="1"/>
  <c r="C44" i="6"/>
  <c r="D44" i="6" s="1"/>
  <c r="E43" i="6"/>
  <c r="F43" i="6" s="1"/>
  <c r="C43" i="6"/>
  <c r="D43" i="6" s="1"/>
  <c r="E42" i="6"/>
  <c r="G42" i="6" s="1"/>
  <c r="C42" i="6"/>
  <c r="D42" i="6" s="1"/>
  <c r="E41" i="6"/>
  <c r="F41" i="6" s="1"/>
  <c r="C41" i="6"/>
  <c r="D41" i="6" s="1"/>
  <c r="E40" i="6"/>
  <c r="G40" i="6" s="1"/>
  <c r="C40" i="6"/>
  <c r="D40" i="6" s="1"/>
  <c r="E39" i="6"/>
  <c r="F39" i="6" s="1"/>
  <c r="C39" i="6"/>
  <c r="D39" i="6" s="1"/>
  <c r="E38" i="6"/>
  <c r="F38" i="6" s="1"/>
  <c r="C38" i="6"/>
  <c r="D38" i="6" s="1"/>
  <c r="E37" i="6"/>
  <c r="F37" i="6" s="1"/>
  <c r="C37" i="6"/>
  <c r="D37" i="6" s="1"/>
  <c r="E36" i="6"/>
  <c r="G36" i="6" s="1"/>
  <c r="C36" i="6"/>
  <c r="D36" i="6" s="1"/>
  <c r="E35" i="6"/>
  <c r="G35" i="6" s="1"/>
  <c r="C35" i="6"/>
  <c r="D35" i="6" s="1"/>
  <c r="E34" i="6"/>
  <c r="G34" i="6" s="1"/>
  <c r="C34" i="6"/>
  <c r="D34" i="6" s="1"/>
  <c r="E33" i="6"/>
  <c r="F33" i="6" s="1"/>
  <c r="C33" i="6"/>
  <c r="D33" i="6" s="1"/>
  <c r="E32" i="6"/>
  <c r="G32" i="6" s="1"/>
  <c r="C32" i="6"/>
  <c r="D32" i="6" s="1"/>
  <c r="E31" i="6"/>
  <c r="F31" i="6" s="1"/>
  <c r="C31" i="6"/>
  <c r="D31" i="6" s="1"/>
  <c r="E30" i="6"/>
  <c r="G30" i="6" s="1"/>
  <c r="C30" i="6"/>
  <c r="D30" i="6" s="1"/>
  <c r="E29" i="6"/>
  <c r="F29" i="6" s="1"/>
  <c r="C29" i="6"/>
  <c r="D29" i="6" s="1"/>
  <c r="E28" i="6"/>
  <c r="G28" i="6" s="1"/>
  <c r="C28" i="6"/>
  <c r="D28" i="6" s="1"/>
  <c r="E27" i="6"/>
  <c r="G27" i="6" s="1"/>
  <c r="C27" i="6"/>
  <c r="D27" i="6" s="1"/>
  <c r="E26" i="6"/>
  <c r="G26" i="6" s="1"/>
  <c r="C26" i="6"/>
  <c r="D26" i="6" s="1"/>
  <c r="E25" i="6"/>
  <c r="F25" i="6" s="1"/>
  <c r="C25" i="6"/>
  <c r="D25" i="6" s="1"/>
  <c r="E24" i="6"/>
  <c r="F24" i="6" s="1"/>
  <c r="C24" i="6"/>
  <c r="D24" i="6" s="1"/>
  <c r="E23" i="6"/>
  <c r="F23" i="6" s="1"/>
  <c r="C23" i="6"/>
  <c r="D23" i="6" s="1"/>
  <c r="E22" i="6"/>
  <c r="G22" i="6" s="1"/>
  <c r="C22" i="6"/>
  <c r="D22" i="6" s="1"/>
  <c r="E21" i="6"/>
  <c r="F21" i="6" s="1"/>
  <c r="C21" i="6"/>
  <c r="D21" i="6" s="1"/>
  <c r="E20" i="6"/>
  <c r="G20" i="6" s="1"/>
  <c r="C20" i="6"/>
  <c r="D20" i="6" s="1"/>
  <c r="E19" i="6"/>
  <c r="F19" i="6" s="1"/>
  <c r="C19" i="6"/>
  <c r="D19" i="6" s="1"/>
  <c r="E18" i="6"/>
  <c r="G18" i="6" s="1"/>
  <c r="C18" i="6"/>
  <c r="D18" i="6" s="1"/>
  <c r="E17" i="6"/>
  <c r="F17" i="6" s="1"/>
  <c r="C17" i="6"/>
  <c r="D17" i="6" s="1"/>
  <c r="E16" i="6"/>
  <c r="F16" i="6" s="1"/>
  <c r="C16" i="6"/>
  <c r="D16" i="6" s="1"/>
  <c r="E15" i="6"/>
  <c r="G15" i="6" s="1"/>
  <c r="C15" i="6"/>
  <c r="D15" i="6" s="1"/>
  <c r="E14" i="6"/>
  <c r="F14" i="6" s="1"/>
  <c r="C14" i="6"/>
  <c r="D14" i="6" s="1"/>
  <c r="E13" i="6"/>
  <c r="G13" i="6" s="1"/>
  <c r="I13" i="6" s="1"/>
  <c r="J13" i="6" s="1"/>
  <c r="C13" i="6"/>
  <c r="D13" i="6" s="1"/>
  <c r="E12" i="6"/>
  <c r="G12" i="6" s="1"/>
  <c r="C12" i="6"/>
  <c r="D12" i="6" s="1"/>
  <c r="E11" i="6"/>
  <c r="G11" i="6" s="1"/>
  <c r="C11" i="6"/>
  <c r="D11" i="6" s="1"/>
  <c r="E10" i="6"/>
  <c r="G10" i="6" s="1"/>
  <c r="C10" i="6"/>
  <c r="D10" i="6" s="1"/>
  <c r="E9" i="6"/>
  <c r="F9" i="6" s="1"/>
  <c r="C9" i="6"/>
  <c r="D9" i="6" s="1"/>
  <c r="E8" i="6"/>
  <c r="G8" i="6" s="1"/>
  <c r="C8" i="6"/>
  <c r="D8" i="6" s="1"/>
  <c r="E7" i="6"/>
  <c r="G7" i="6" s="1"/>
  <c r="C7" i="6"/>
  <c r="D7" i="6" s="1"/>
  <c r="E6" i="6"/>
  <c r="G6" i="6" s="1"/>
  <c r="C6" i="6"/>
  <c r="D6" i="6" s="1"/>
  <c r="E5" i="6"/>
  <c r="G5" i="6" s="1"/>
  <c r="I5" i="6" s="1"/>
  <c r="J5" i="6" s="1"/>
  <c r="C5" i="6"/>
  <c r="D5" i="6" s="1"/>
  <c r="E4" i="6"/>
  <c r="G4" i="6" s="1"/>
  <c r="C4" i="6"/>
  <c r="D4" i="6" s="1"/>
  <c r="G3" i="6"/>
  <c r="C3" i="6"/>
  <c r="D3" i="6" s="1"/>
  <c r="D2" i="1"/>
  <c r="L65" i="6" s="1"/>
  <c r="M65" i="6" s="1"/>
  <c r="C8" i="2"/>
  <c r="G66" i="5"/>
  <c r="G3" i="5"/>
  <c r="C12" i="5"/>
  <c r="D12" i="5" s="1"/>
  <c r="E5" i="5"/>
  <c r="F5" i="5" s="1"/>
  <c r="E6" i="5"/>
  <c r="G6" i="5" s="1"/>
  <c r="E7" i="5"/>
  <c r="F7" i="5" s="1"/>
  <c r="E8" i="5"/>
  <c r="F8" i="5" s="1"/>
  <c r="E9" i="5"/>
  <c r="G9" i="5" s="1"/>
  <c r="E10" i="5"/>
  <c r="F10" i="5" s="1"/>
  <c r="E11" i="5"/>
  <c r="F11" i="5" s="1"/>
  <c r="E12" i="5"/>
  <c r="F12" i="5" s="1"/>
  <c r="H12" i="5" s="1"/>
  <c r="E13" i="5"/>
  <c r="F13" i="5" s="1"/>
  <c r="E14" i="5"/>
  <c r="G14" i="5" s="1"/>
  <c r="E15" i="5"/>
  <c r="G15" i="5" s="1"/>
  <c r="I15" i="5" s="1"/>
  <c r="J15" i="5" s="1"/>
  <c r="E16" i="5"/>
  <c r="G16" i="5" s="1"/>
  <c r="I16" i="5" s="1"/>
  <c r="J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G22" i="5" s="1"/>
  <c r="E23" i="5"/>
  <c r="G23" i="5" s="1"/>
  <c r="I23" i="5" s="1"/>
  <c r="J23" i="5" s="1"/>
  <c r="E24" i="5"/>
  <c r="F24" i="5" s="1"/>
  <c r="E25" i="5"/>
  <c r="G25" i="5" s="1"/>
  <c r="E26" i="5"/>
  <c r="F26" i="5" s="1"/>
  <c r="E27" i="5"/>
  <c r="F27" i="5" s="1"/>
  <c r="E28" i="5"/>
  <c r="F28" i="5" s="1"/>
  <c r="E29" i="5"/>
  <c r="F29" i="5" s="1"/>
  <c r="E30" i="5"/>
  <c r="G30" i="5" s="1"/>
  <c r="E31" i="5"/>
  <c r="F31" i="5" s="1"/>
  <c r="E32" i="5"/>
  <c r="F32" i="5" s="1"/>
  <c r="E33" i="5"/>
  <c r="G33" i="5" s="1"/>
  <c r="E34" i="5"/>
  <c r="F34" i="5" s="1"/>
  <c r="E35" i="5"/>
  <c r="F35" i="5" s="1"/>
  <c r="E36" i="5"/>
  <c r="F36" i="5" s="1"/>
  <c r="E37" i="5"/>
  <c r="F37" i="5" s="1"/>
  <c r="E38" i="5"/>
  <c r="G38" i="5" s="1"/>
  <c r="E39" i="5"/>
  <c r="G39" i="5" s="1"/>
  <c r="I39" i="5" s="1"/>
  <c r="J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G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G54" i="5" s="1"/>
  <c r="E55" i="5"/>
  <c r="G55" i="5" s="1"/>
  <c r="I55" i="5" s="1"/>
  <c r="J55" i="5" s="1"/>
  <c r="E56" i="5"/>
  <c r="F56" i="5" s="1"/>
  <c r="E57" i="5"/>
  <c r="F57" i="5" s="1"/>
  <c r="E58" i="5"/>
  <c r="F58" i="5" s="1"/>
  <c r="E59" i="5"/>
  <c r="F59" i="5" s="1"/>
  <c r="E60" i="5"/>
  <c r="F60" i="5" s="1"/>
  <c r="E61" i="5"/>
  <c r="F61" i="5" s="1"/>
  <c r="E62" i="5"/>
  <c r="G62" i="5" s="1"/>
  <c r="E63" i="5"/>
  <c r="F63" i="5" s="1"/>
  <c r="E4" i="5"/>
  <c r="G4" i="5" s="1"/>
  <c r="I4" i="5" s="1"/>
  <c r="J4" i="5" s="1"/>
  <c r="F66" i="5"/>
  <c r="C7" i="5"/>
  <c r="D7" i="5" s="1"/>
  <c r="C8" i="5"/>
  <c r="D8" i="5" s="1"/>
  <c r="C9" i="5"/>
  <c r="D9" i="5" s="1"/>
  <c r="C10" i="5"/>
  <c r="D10" i="5" s="1"/>
  <c r="C11" i="5"/>
  <c r="D11" i="5" s="1"/>
  <c r="C13" i="5"/>
  <c r="D13" i="5" s="1"/>
  <c r="C14" i="5"/>
  <c r="D14" i="5" s="1"/>
  <c r="C15" i="5"/>
  <c r="D15" i="5" s="1"/>
  <c r="C16" i="5"/>
  <c r="D16" i="5" s="1"/>
  <c r="C17" i="5"/>
  <c r="D17" i="5" s="1"/>
  <c r="C18" i="5"/>
  <c r="D18" i="5" s="1"/>
  <c r="C19" i="5"/>
  <c r="D19" i="5" s="1"/>
  <c r="C20" i="5"/>
  <c r="D20" i="5" s="1"/>
  <c r="C21" i="5"/>
  <c r="D21" i="5" s="1"/>
  <c r="C22" i="5"/>
  <c r="D22" i="5" s="1"/>
  <c r="C23" i="5"/>
  <c r="D23" i="5" s="1"/>
  <c r="C24" i="5"/>
  <c r="D24" i="5" s="1"/>
  <c r="C25" i="5"/>
  <c r="D25" i="5" s="1"/>
  <c r="C26" i="5"/>
  <c r="D26" i="5" s="1"/>
  <c r="C27" i="5"/>
  <c r="D27" i="5" s="1"/>
  <c r="C28" i="5"/>
  <c r="D28" i="5" s="1"/>
  <c r="C29" i="5"/>
  <c r="D29" i="5" s="1"/>
  <c r="C30" i="5"/>
  <c r="D30" i="5" s="1"/>
  <c r="C31" i="5"/>
  <c r="D31" i="5" s="1"/>
  <c r="C32" i="5"/>
  <c r="D32" i="5" s="1"/>
  <c r="C33" i="5"/>
  <c r="D33" i="5" s="1"/>
  <c r="C34" i="5"/>
  <c r="D34" i="5" s="1"/>
  <c r="C35" i="5"/>
  <c r="D35" i="5" s="1"/>
  <c r="C36" i="5"/>
  <c r="D36" i="5" s="1"/>
  <c r="C37" i="5"/>
  <c r="D37" i="5" s="1"/>
  <c r="C38" i="5"/>
  <c r="D38" i="5" s="1"/>
  <c r="C39" i="5"/>
  <c r="D39" i="5" s="1"/>
  <c r="C40" i="5"/>
  <c r="D40" i="5" s="1"/>
  <c r="C41" i="5"/>
  <c r="D41" i="5" s="1"/>
  <c r="C42" i="5"/>
  <c r="D42" i="5" s="1"/>
  <c r="C43" i="5"/>
  <c r="D43" i="5" s="1"/>
  <c r="C44" i="5"/>
  <c r="D44" i="5" s="1"/>
  <c r="C45" i="5"/>
  <c r="D45" i="5" s="1"/>
  <c r="C46" i="5"/>
  <c r="D46" i="5" s="1"/>
  <c r="C47" i="5"/>
  <c r="D47" i="5" s="1"/>
  <c r="C48" i="5"/>
  <c r="D48" i="5" s="1"/>
  <c r="C49" i="5"/>
  <c r="D49" i="5" s="1"/>
  <c r="C50" i="5"/>
  <c r="D50" i="5" s="1"/>
  <c r="C51" i="5"/>
  <c r="D51" i="5" s="1"/>
  <c r="C52" i="5"/>
  <c r="D52" i="5" s="1"/>
  <c r="C53" i="5"/>
  <c r="D53" i="5" s="1"/>
  <c r="C54" i="5"/>
  <c r="D54" i="5" s="1"/>
  <c r="C55" i="5"/>
  <c r="D55" i="5" s="1"/>
  <c r="C56" i="5"/>
  <c r="D56" i="5" s="1"/>
  <c r="C57" i="5"/>
  <c r="D57" i="5" s="1"/>
  <c r="C58" i="5"/>
  <c r="D58" i="5" s="1"/>
  <c r="C59" i="5"/>
  <c r="D59" i="5" s="1"/>
  <c r="C60" i="5"/>
  <c r="D60" i="5" s="1"/>
  <c r="C61" i="5"/>
  <c r="D61" i="5" s="1"/>
  <c r="C62" i="5"/>
  <c r="D62" i="5" s="1"/>
  <c r="C63" i="5"/>
  <c r="D63" i="5" s="1"/>
  <c r="C64" i="5"/>
  <c r="D64" i="5" s="1"/>
  <c r="C65" i="5"/>
  <c r="D65" i="5" s="1"/>
  <c r="C66" i="5"/>
  <c r="D66" i="5" s="1"/>
  <c r="C4" i="5"/>
  <c r="D4" i="5" s="1"/>
  <c r="C5" i="5"/>
  <c r="D5" i="5" s="1"/>
  <c r="C6" i="5"/>
  <c r="D6" i="5" s="1"/>
  <c r="C3" i="5"/>
  <c r="D3" i="5" s="1"/>
  <c r="C10" i="2"/>
  <c r="C9" i="2"/>
  <c r="C5" i="2"/>
  <c r="C6" i="2" s="1"/>
  <c r="D3" i="1"/>
  <c r="D4" i="1"/>
  <c r="N11" i="5" s="1"/>
  <c r="D5" i="1"/>
  <c r="O14" i="5" s="1"/>
  <c r="D6" i="1"/>
  <c r="E6" i="1" s="1"/>
  <c r="D8" i="1"/>
  <c r="I61" i="6" l="1"/>
  <c r="J61" i="6" s="1"/>
  <c r="I65" i="5"/>
  <c r="J65" i="5" s="1"/>
  <c r="I64" i="5"/>
  <c r="J64" i="5" s="1"/>
  <c r="G82" i="7"/>
  <c r="G84" i="7" s="1"/>
  <c r="F65" i="5"/>
  <c r="H65" i="5" s="1"/>
  <c r="F64" i="5"/>
  <c r="H64" i="5" s="1"/>
  <c r="I62" i="5"/>
  <c r="J62" i="5" s="1"/>
  <c r="I22" i="5"/>
  <c r="J22" i="5" s="1"/>
  <c r="C13" i="2"/>
  <c r="C14" i="2" s="1"/>
  <c r="C16" i="2" s="1"/>
  <c r="I7" i="6"/>
  <c r="J7" i="6" s="1"/>
  <c r="I11" i="6"/>
  <c r="J11" i="6" s="1"/>
  <c r="I15" i="6"/>
  <c r="J15" i="6" s="1"/>
  <c r="I27" i="6"/>
  <c r="J27" i="6" s="1"/>
  <c r="I35" i="6"/>
  <c r="J35" i="6" s="1"/>
  <c r="I55" i="6"/>
  <c r="J55" i="6" s="1"/>
  <c r="I59" i="6"/>
  <c r="J59" i="6" s="1"/>
  <c r="I38" i="5"/>
  <c r="J38" i="5" s="1"/>
  <c r="I10" i="6"/>
  <c r="J10" i="6" s="1"/>
  <c r="I54" i="5"/>
  <c r="J54" i="5" s="1"/>
  <c r="I14" i="5"/>
  <c r="J14" i="5" s="1"/>
  <c r="I66" i="5"/>
  <c r="J66" i="5" s="1"/>
  <c r="I4" i="6"/>
  <c r="J4" i="6" s="1"/>
  <c r="I8" i="6"/>
  <c r="J8" i="6" s="1"/>
  <c r="I12" i="6"/>
  <c r="J12" i="6" s="1"/>
  <c r="I20" i="6"/>
  <c r="J20" i="6" s="1"/>
  <c r="I28" i="6"/>
  <c r="J28" i="6" s="1"/>
  <c r="I32" i="6"/>
  <c r="J32" i="6" s="1"/>
  <c r="I36" i="6"/>
  <c r="J36" i="6" s="1"/>
  <c r="I40" i="6"/>
  <c r="J40" i="6" s="1"/>
  <c r="I44" i="6"/>
  <c r="J44" i="6" s="1"/>
  <c r="I48" i="6"/>
  <c r="J48" i="6" s="1"/>
  <c r="I52" i="6"/>
  <c r="J52" i="6" s="1"/>
  <c r="I56" i="6"/>
  <c r="J56" i="6" s="1"/>
  <c r="I60" i="6"/>
  <c r="J60" i="6" s="1"/>
  <c r="I30" i="5"/>
  <c r="J30" i="5" s="1"/>
  <c r="I6" i="6"/>
  <c r="J6" i="6" s="1"/>
  <c r="I33" i="5"/>
  <c r="J33" i="5" s="1"/>
  <c r="I25" i="5"/>
  <c r="J25" i="5" s="1"/>
  <c r="I9" i="5"/>
  <c r="J9" i="5" s="1"/>
  <c r="I46" i="5"/>
  <c r="J46" i="5" s="1"/>
  <c r="I6" i="5"/>
  <c r="J6" i="5" s="1"/>
  <c r="I18" i="6"/>
  <c r="J18" i="6" s="1"/>
  <c r="I22" i="6"/>
  <c r="J22" i="6" s="1"/>
  <c r="I26" i="6"/>
  <c r="J26" i="6" s="1"/>
  <c r="I30" i="6"/>
  <c r="J30" i="6" s="1"/>
  <c r="I34" i="6"/>
  <c r="J34" i="6" s="1"/>
  <c r="I42" i="6"/>
  <c r="J42" i="6" s="1"/>
  <c r="I50" i="6"/>
  <c r="J50" i="6" s="1"/>
  <c r="I54" i="6"/>
  <c r="J54" i="6" s="1"/>
  <c r="I58" i="6"/>
  <c r="J58" i="6" s="1"/>
  <c r="I62" i="6"/>
  <c r="J62" i="6" s="1"/>
  <c r="F9" i="5"/>
  <c r="O47" i="5"/>
  <c r="M64" i="5"/>
  <c r="M48" i="5"/>
  <c r="M32" i="5"/>
  <c r="O63" i="6"/>
  <c r="P63" i="6" s="1"/>
  <c r="M16" i="5"/>
  <c r="O9" i="6"/>
  <c r="P9" i="6" s="1"/>
  <c r="O40" i="5"/>
  <c r="O34" i="5"/>
  <c r="N53" i="5"/>
  <c r="O28" i="5"/>
  <c r="O21" i="5"/>
  <c r="O66" i="5"/>
  <c r="O15" i="5"/>
  <c r="O60" i="5"/>
  <c r="O8" i="5"/>
  <c r="L55" i="5"/>
  <c r="L39" i="5"/>
  <c r="L23" i="5"/>
  <c r="L7" i="5"/>
  <c r="M61" i="5"/>
  <c r="M45" i="5"/>
  <c r="M29" i="5"/>
  <c r="M13" i="5"/>
  <c r="N45" i="5"/>
  <c r="O65" i="5"/>
  <c r="O59" i="5"/>
  <c r="O53" i="5"/>
  <c r="P46" i="5"/>
  <c r="O39" i="5"/>
  <c r="O33" i="5"/>
  <c r="O27" i="5"/>
  <c r="O20" i="5"/>
  <c r="P14" i="5"/>
  <c r="O7" i="5"/>
  <c r="O4" i="6"/>
  <c r="P4" i="6" s="1"/>
  <c r="O12" i="6"/>
  <c r="P12" i="6" s="1"/>
  <c r="L17" i="6"/>
  <c r="M17" i="6" s="1"/>
  <c r="O19" i="6"/>
  <c r="P19" i="6" s="1"/>
  <c r="L35" i="6"/>
  <c r="M35" i="6" s="1"/>
  <c r="L43" i="6"/>
  <c r="M43" i="6" s="1"/>
  <c r="L55" i="6"/>
  <c r="M55" i="6" s="1"/>
  <c r="X63" i="6"/>
  <c r="Y63" i="6" s="1"/>
  <c r="L42" i="5"/>
  <c r="L26" i="5"/>
  <c r="L54" i="5"/>
  <c r="L38" i="5"/>
  <c r="L22" i="5"/>
  <c r="L6" i="5"/>
  <c r="M60" i="5"/>
  <c r="M44" i="5"/>
  <c r="M28" i="5"/>
  <c r="M12" i="5"/>
  <c r="N37" i="5"/>
  <c r="O58" i="5"/>
  <c r="O52" i="5"/>
  <c r="O46" i="5"/>
  <c r="P38" i="5"/>
  <c r="O32" i="5"/>
  <c r="O26" i="5"/>
  <c r="P6" i="5"/>
  <c r="L7" i="6"/>
  <c r="M7" i="6" s="1"/>
  <c r="L15" i="6"/>
  <c r="M15" i="6" s="1"/>
  <c r="O17" i="6"/>
  <c r="P17" i="6" s="1"/>
  <c r="O22" i="6"/>
  <c r="P22" i="6" s="1"/>
  <c r="L25" i="6"/>
  <c r="M25" i="6" s="1"/>
  <c r="L33" i="6"/>
  <c r="M33" i="6" s="1"/>
  <c r="O35" i="6"/>
  <c r="P35" i="6" s="1"/>
  <c r="L51" i="6"/>
  <c r="M51" i="6" s="1"/>
  <c r="L53" i="6"/>
  <c r="M53" i="6" s="1"/>
  <c r="L61" i="6"/>
  <c r="M61" i="6" s="1"/>
  <c r="E5" i="1"/>
  <c r="U8" i="6"/>
  <c r="V8" i="6" s="1"/>
  <c r="U16" i="6"/>
  <c r="V16" i="6" s="1"/>
  <c r="U24" i="6"/>
  <c r="V24" i="6" s="1"/>
  <c r="U32" i="6"/>
  <c r="V32" i="6" s="1"/>
  <c r="U40" i="6"/>
  <c r="V40" i="6" s="1"/>
  <c r="U48" i="6"/>
  <c r="V48" i="6" s="1"/>
  <c r="U56" i="6"/>
  <c r="V56" i="6" s="1"/>
  <c r="U64" i="6"/>
  <c r="V64" i="6" s="1"/>
  <c r="U17" i="6"/>
  <c r="V17" i="6" s="1"/>
  <c r="U33" i="6"/>
  <c r="V33" i="6" s="1"/>
  <c r="U65" i="6"/>
  <c r="V65" i="6" s="1"/>
  <c r="U10" i="6"/>
  <c r="V10" i="6" s="1"/>
  <c r="U42" i="6"/>
  <c r="V42" i="6" s="1"/>
  <c r="U11" i="6"/>
  <c r="V11" i="6" s="1"/>
  <c r="U19" i="6"/>
  <c r="V19" i="6" s="1"/>
  <c r="U27" i="6"/>
  <c r="V27" i="6" s="1"/>
  <c r="U35" i="6"/>
  <c r="V35" i="6" s="1"/>
  <c r="U43" i="6"/>
  <c r="V43" i="6" s="1"/>
  <c r="U51" i="6"/>
  <c r="V51" i="6" s="1"/>
  <c r="U59" i="6"/>
  <c r="V59" i="6" s="1"/>
  <c r="U5" i="6"/>
  <c r="V5" i="6" s="1"/>
  <c r="U21" i="6"/>
  <c r="V21" i="6" s="1"/>
  <c r="U37" i="6"/>
  <c r="V37" i="6" s="1"/>
  <c r="U53" i="6"/>
  <c r="V53" i="6" s="1"/>
  <c r="U25" i="6"/>
  <c r="V25" i="6" s="1"/>
  <c r="U57" i="6"/>
  <c r="V57" i="6" s="1"/>
  <c r="U26" i="6"/>
  <c r="V26" i="6" s="1"/>
  <c r="U50" i="6"/>
  <c r="V50" i="6" s="1"/>
  <c r="U4" i="6"/>
  <c r="V4" i="6" s="1"/>
  <c r="U12" i="6"/>
  <c r="V12" i="6" s="1"/>
  <c r="U20" i="6"/>
  <c r="V20" i="6" s="1"/>
  <c r="U28" i="6"/>
  <c r="V28" i="6" s="1"/>
  <c r="U36" i="6"/>
  <c r="V36" i="6" s="1"/>
  <c r="U44" i="6"/>
  <c r="V44" i="6" s="1"/>
  <c r="U52" i="6"/>
  <c r="V52" i="6" s="1"/>
  <c r="U60" i="6"/>
  <c r="V60" i="6" s="1"/>
  <c r="U13" i="6"/>
  <c r="V13" i="6" s="1"/>
  <c r="U29" i="6"/>
  <c r="V29" i="6" s="1"/>
  <c r="U45" i="6"/>
  <c r="V45" i="6" s="1"/>
  <c r="U61" i="6"/>
  <c r="V61" i="6" s="1"/>
  <c r="U49" i="6"/>
  <c r="V49" i="6" s="1"/>
  <c r="U34" i="6"/>
  <c r="V34" i="6" s="1"/>
  <c r="U58" i="6"/>
  <c r="V58" i="6" s="1"/>
  <c r="U6" i="6"/>
  <c r="V6" i="6" s="1"/>
  <c r="U14" i="6"/>
  <c r="V14" i="6" s="1"/>
  <c r="U22" i="6"/>
  <c r="V22" i="6" s="1"/>
  <c r="U30" i="6"/>
  <c r="V30" i="6" s="1"/>
  <c r="U38" i="6"/>
  <c r="V38" i="6" s="1"/>
  <c r="U46" i="6"/>
  <c r="V46" i="6" s="1"/>
  <c r="U54" i="6"/>
  <c r="V54" i="6" s="1"/>
  <c r="U62" i="6"/>
  <c r="V62" i="6" s="1"/>
  <c r="U7" i="6"/>
  <c r="V7" i="6" s="1"/>
  <c r="U15" i="6"/>
  <c r="V15" i="6" s="1"/>
  <c r="U23" i="6"/>
  <c r="V23" i="6" s="1"/>
  <c r="U31" i="6"/>
  <c r="V31" i="6" s="1"/>
  <c r="U39" i="6"/>
  <c r="V39" i="6" s="1"/>
  <c r="U47" i="6"/>
  <c r="V47" i="6" s="1"/>
  <c r="U55" i="6"/>
  <c r="V55" i="6" s="1"/>
  <c r="U63" i="6"/>
  <c r="V63" i="6" s="1"/>
  <c r="U9" i="6"/>
  <c r="V9" i="6" s="1"/>
  <c r="U41" i="6"/>
  <c r="V41" i="6" s="1"/>
  <c r="U18" i="6"/>
  <c r="V18" i="6" s="1"/>
  <c r="U66" i="6"/>
  <c r="V66" i="6" s="1"/>
  <c r="L53" i="5"/>
  <c r="L37" i="5"/>
  <c r="L21" i="5"/>
  <c r="L5" i="5"/>
  <c r="M59" i="5"/>
  <c r="M43" i="5"/>
  <c r="M27" i="5"/>
  <c r="M11" i="5"/>
  <c r="N29" i="5"/>
  <c r="O64" i="5"/>
  <c r="O57" i="5"/>
  <c r="O51" i="5"/>
  <c r="O45" i="5"/>
  <c r="O38" i="5"/>
  <c r="O31" i="5"/>
  <c r="O25" i="5"/>
  <c r="O19" i="5"/>
  <c r="O13" i="5"/>
  <c r="O6" i="5"/>
  <c r="O15" i="6"/>
  <c r="P15" i="6" s="1"/>
  <c r="O25" i="6"/>
  <c r="P25" i="6" s="1"/>
  <c r="O28" i="6"/>
  <c r="P28" i="6" s="1"/>
  <c r="L31" i="6"/>
  <c r="M31" i="6" s="1"/>
  <c r="O33" i="6"/>
  <c r="P33" i="6" s="1"/>
  <c r="O38" i="6"/>
  <c r="P38" i="6" s="1"/>
  <c r="L41" i="6"/>
  <c r="M41" i="6" s="1"/>
  <c r="L49" i="6"/>
  <c r="M49" i="6" s="1"/>
  <c r="O51" i="6"/>
  <c r="P51" i="6" s="1"/>
  <c r="L64" i="6"/>
  <c r="M64" i="6" s="1"/>
  <c r="L66" i="5"/>
  <c r="L50" i="5"/>
  <c r="L34" i="5"/>
  <c r="L18" i="5"/>
  <c r="M4" i="5"/>
  <c r="M56" i="5"/>
  <c r="M40" i="5"/>
  <c r="M24" i="5"/>
  <c r="M8" i="5"/>
  <c r="N21" i="5"/>
  <c r="O63" i="5"/>
  <c r="O56" i="5"/>
  <c r="O50" i="5"/>
  <c r="O44" i="5"/>
  <c r="O37" i="5"/>
  <c r="O24" i="5"/>
  <c r="O18" i="5"/>
  <c r="O12" i="5"/>
  <c r="O5" i="5"/>
  <c r="L5" i="6"/>
  <c r="M5" i="6" s="1"/>
  <c r="L13" i="6"/>
  <c r="M13" i="6" s="1"/>
  <c r="X15" i="6"/>
  <c r="Y15" i="6" s="1"/>
  <c r="O20" i="6"/>
  <c r="P20" i="6" s="1"/>
  <c r="O31" i="6"/>
  <c r="P31" i="6" s="1"/>
  <c r="O41" i="6"/>
  <c r="P41" i="6" s="1"/>
  <c r="O44" i="6"/>
  <c r="P44" i="6" s="1"/>
  <c r="L47" i="6"/>
  <c r="M47" i="6" s="1"/>
  <c r="O49" i="6"/>
  <c r="P49" i="6" s="1"/>
  <c r="L59" i="6"/>
  <c r="M59" i="6" s="1"/>
  <c r="L63" i="5"/>
  <c r="L47" i="5"/>
  <c r="L31" i="5"/>
  <c r="L15" i="5"/>
  <c r="M53" i="5"/>
  <c r="M37" i="5"/>
  <c r="M21" i="5"/>
  <c r="M5" i="5"/>
  <c r="N13" i="5"/>
  <c r="P62" i="5"/>
  <c r="O55" i="5"/>
  <c r="O43" i="5"/>
  <c r="O36" i="5"/>
  <c r="P30" i="5"/>
  <c r="O23" i="5"/>
  <c r="O17" i="5"/>
  <c r="O11" i="5"/>
  <c r="L11" i="6"/>
  <c r="M11" i="6" s="1"/>
  <c r="AA13" i="6"/>
  <c r="AB13" i="6" s="1"/>
  <c r="O18" i="6"/>
  <c r="P18" i="6" s="1"/>
  <c r="L23" i="6"/>
  <c r="M23" i="6" s="1"/>
  <c r="X31" i="6"/>
  <c r="Y31" i="6" s="1"/>
  <c r="O36" i="6"/>
  <c r="P36" i="6" s="1"/>
  <c r="O47" i="6"/>
  <c r="P47" i="6" s="1"/>
  <c r="O54" i="6"/>
  <c r="P54" i="6" s="1"/>
  <c r="L58" i="5"/>
  <c r="L10" i="5"/>
  <c r="L19" i="6"/>
  <c r="M19" i="6" s="1"/>
  <c r="L27" i="6"/>
  <c r="M27" i="6" s="1"/>
  <c r="L37" i="6"/>
  <c r="M37" i="6" s="1"/>
  <c r="L62" i="5"/>
  <c r="L46" i="5"/>
  <c r="L30" i="5"/>
  <c r="L14" i="5"/>
  <c r="M52" i="5"/>
  <c r="M36" i="5"/>
  <c r="M20" i="5"/>
  <c r="N5" i="5"/>
  <c r="O62" i="5"/>
  <c r="P54" i="5"/>
  <c r="O49" i="5"/>
  <c r="O42" i="5"/>
  <c r="O35" i="5"/>
  <c r="O30" i="5"/>
  <c r="P22" i="5"/>
  <c r="O16" i="5"/>
  <c r="O10" i="5"/>
  <c r="AA11" i="6"/>
  <c r="AB11" i="6" s="1"/>
  <c r="L29" i="6"/>
  <c r="M29" i="6" s="1"/>
  <c r="O34" i="6"/>
  <c r="P34" i="6" s="1"/>
  <c r="L39" i="6"/>
  <c r="M39" i="6" s="1"/>
  <c r="X47" i="6"/>
  <c r="Y47" i="6" s="1"/>
  <c r="O52" i="6"/>
  <c r="P52" i="6" s="1"/>
  <c r="AA54" i="6"/>
  <c r="AB54" i="6" s="1"/>
  <c r="L57" i="6"/>
  <c r="M57" i="6" s="1"/>
  <c r="L61" i="5"/>
  <c r="L45" i="5"/>
  <c r="L29" i="5"/>
  <c r="L13" i="5"/>
  <c r="M51" i="5"/>
  <c r="M35" i="5"/>
  <c r="M19" i="5"/>
  <c r="N61" i="5"/>
  <c r="O4" i="5"/>
  <c r="O61" i="5"/>
  <c r="O54" i="5"/>
  <c r="O48" i="5"/>
  <c r="O41" i="5"/>
  <c r="O29" i="5"/>
  <c r="O22" i="5"/>
  <c r="O9" i="5"/>
  <c r="L6" i="6"/>
  <c r="M6" i="6" s="1"/>
  <c r="L9" i="6"/>
  <c r="M9" i="6" s="1"/>
  <c r="L21" i="6"/>
  <c r="M21" i="6" s="1"/>
  <c r="L45" i="6"/>
  <c r="M45" i="6" s="1"/>
  <c r="O50" i="6"/>
  <c r="P50" i="6" s="1"/>
  <c r="AA52" i="6"/>
  <c r="AB52" i="6" s="1"/>
  <c r="O57" i="6"/>
  <c r="P57" i="6" s="1"/>
  <c r="O60" i="6"/>
  <c r="P60" i="6" s="1"/>
  <c r="L63" i="6"/>
  <c r="M63" i="6" s="1"/>
  <c r="AA27" i="6"/>
  <c r="AB27" i="6" s="1"/>
  <c r="AA19" i="6"/>
  <c r="AB19" i="6" s="1"/>
  <c r="AA14" i="6"/>
  <c r="AB14" i="6" s="1"/>
  <c r="AA35" i="6"/>
  <c r="AB35" i="6" s="1"/>
  <c r="AA37" i="6"/>
  <c r="AB37" i="6" s="1"/>
  <c r="AA39" i="6"/>
  <c r="AB39" i="6" s="1"/>
  <c r="AA41" i="6"/>
  <c r="AB41" i="6" s="1"/>
  <c r="AA47" i="6"/>
  <c r="AB47" i="6" s="1"/>
  <c r="AA49" i="6"/>
  <c r="AB49" i="6" s="1"/>
  <c r="AA59" i="6"/>
  <c r="AB59" i="6" s="1"/>
  <c r="AA61" i="6"/>
  <c r="AB61" i="6" s="1"/>
  <c r="AA8" i="6"/>
  <c r="AB8" i="6" s="1"/>
  <c r="AA10" i="6"/>
  <c r="AB10" i="6" s="1"/>
  <c r="AA12" i="6"/>
  <c r="AB12" i="6" s="1"/>
  <c r="AA16" i="6"/>
  <c r="AB16" i="6" s="1"/>
  <c r="AA30" i="6"/>
  <c r="AB30" i="6" s="1"/>
  <c r="AA51" i="6"/>
  <c r="AB51" i="6" s="1"/>
  <c r="AA53" i="6"/>
  <c r="AB53" i="6" s="1"/>
  <c r="AA55" i="6"/>
  <c r="AB55" i="6" s="1"/>
  <c r="AA57" i="6"/>
  <c r="AB57" i="6" s="1"/>
  <c r="AA63" i="6"/>
  <c r="AB63" i="6" s="1"/>
  <c r="AA9" i="6"/>
  <c r="AB9" i="6" s="1"/>
  <c r="AA66" i="6"/>
  <c r="AB66" i="6" s="1"/>
  <c r="AA4" i="6"/>
  <c r="AB4" i="6" s="1"/>
  <c r="AA6" i="6"/>
  <c r="AB6" i="6" s="1"/>
  <c r="AA18" i="6"/>
  <c r="AB18" i="6" s="1"/>
  <c r="AA24" i="6"/>
  <c r="AB24" i="6" s="1"/>
  <c r="AA26" i="6"/>
  <c r="AB26" i="6" s="1"/>
  <c r="AA28" i="6"/>
  <c r="AB28" i="6" s="1"/>
  <c r="AA32" i="6"/>
  <c r="AB32" i="6" s="1"/>
  <c r="AA46" i="6"/>
  <c r="AB46" i="6" s="1"/>
  <c r="AA7" i="6"/>
  <c r="AB7" i="6" s="1"/>
  <c r="AA29" i="6"/>
  <c r="AB29" i="6" s="1"/>
  <c r="AA20" i="6"/>
  <c r="AB20" i="6" s="1"/>
  <c r="AA5" i="6"/>
  <c r="AB5" i="6" s="1"/>
  <c r="AA17" i="6"/>
  <c r="AB17" i="6" s="1"/>
  <c r="AA22" i="6"/>
  <c r="AB22" i="6" s="1"/>
  <c r="AA34" i="6"/>
  <c r="AB34" i="6" s="1"/>
  <c r="AA40" i="6"/>
  <c r="AB40" i="6" s="1"/>
  <c r="AA42" i="6"/>
  <c r="AB42" i="6" s="1"/>
  <c r="AA44" i="6"/>
  <c r="AB44" i="6" s="1"/>
  <c r="AA48" i="6"/>
  <c r="AB48" i="6" s="1"/>
  <c r="AA62" i="6"/>
  <c r="AB62" i="6" s="1"/>
  <c r="AA36" i="6"/>
  <c r="AB36" i="6" s="1"/>
  <c r="AA38" i="6"/>
  <c r="AB38" i="6" s="1"/>
  <c r="AA50" i="6"/>
  <c r="AB50" i="6" s="1"/>
  <c r="AA56" i="6"/>
  <c r="AB56" i="6" s="1"/>
  <c r="AA58" i="6"/>
  <c r="AB58" i="6" s="1"/>
  <c r="AA60" i="6"/>
  <c r="AB60" i="6" s="1"/>
  <c r="AA64" i="6"/>
  <c r="AB64" i="6" s="1"/>
  <c r="AA15" i="6"/>
  <c r="AB15" i="6" s="1"/>
  <c r="AA65" i="6"/>
  <c r="AB65" i="6" s="1"/>
  <c r="AA21" i="6"/>
  <c r="AB21" i="6" s="1"/>
  <c r="AA23" i="6"/>
  <c r="AB23" i="6" s="1"/>
  <c r="AA25" i="6"/>
  <c r="AB25" i="6" s="1"/>
  <c r="AA31" i="6"/>
  <c r="AB31" i="6" s="1"/>
  <c r="AA33" i="6"/>
  <c r="AB33" i="6" s="1"/>
  <c r="AA43" i="6"/>
  <c r="AB43" i="6" s="1"/>
  <c r="AA45" i="6"/>
  <c r="AB45" i="6" s="1"/>
  <c r="P59" i="5"/>
  <c r="P27" i="5"/>
  <c r="P11" i="5"/>
  <c r="X7" i="6"/>
  <c r="Y7" i="6" s="1"/>
  <c r="X28" i="6"/>
  <c r="Y28" i="6" s="1"/>
  <c r="X44" i="6"/>
  <c r="Y44" i="6" s="1"/>
  <c r="X60" i="6"/>
  <c r="Y60" i="6" s="1"/>
  <c r="P4" i="5"/>
  <c r="P64" i="5"/>
  <c r="P56" i="5"/>
  <c r="P48" i="5"/>
  <c r="P40" i="5"/>
  <c r="P32" i="5"/>
  <c r="P24" i="5"/>
  <c r="P16" i="5"/>
  <c r="P8" i="5"/>
  <c r="X4" i="6"/>
  <c r="Y4" i="6" s="1"/>
  <c r="X14" i="6"/>
  <c r="Y14" i="6" s="1"/>
  <c r="X17" i="6"/>
  <c r="Y17" i="6" s="1"/>
  <c r="X20" i="6"/>
  <c r="Y20" i="6" s="1"/>
  <c r="X30" i="6"/>
  <c r="Y30" i="6" s="1"/>
  <c r="X33" i="6"/>
  <c r="Y33" i="6" s="1"/>
  <c r="X36" i="6"/>
  <c r="Y36" i="6" s="1"/>
  <c r="X46" i="6"/>
  <c r="Y46" i="6" s="1"/>
  <c r="X49" i="6"/>
  <c r="Y49" i="6" s="1"/>
  <c r="X52" i="6"/>
  <c r="Y52" i="6" s="1"/>
  <c r="X62" i="6"/>
  <c r="Y62" i="6" s="1"/>
  <c r="X66" i="6"/>
  <c r="Y66" i="6" s="1"/>
  <c r="P51" i="5"/>
  <c r="P35" i="5"/>
  <c r="P19" i="5"/>
  <c r="X12" i="6"/>
  <c r="Y12" i="6" s="1"/>
  <c r="X23" i="6"/>
  <c r="Y23" i="6" s="1"/>
  <c r="X39" i="6"/>
  <c r="Y39" i="6" s="1"/>
  <c r="X55" i="6"/>
  <c r="Y55" i="6" s="1"/>
  <c r="P61" i="5"/>
  <c r="P53" i="5"/>
  <c r="P45" i="5"/>
  <c r="P37" i="5"/>
  <c r="P29" i="5"/>
  <c r="P21" i="5"/>
  <c r="P13" i="5"/>
  <c r="P5" i="5"/>
  <c r="X9" i="6"/>
  <c r="Y9" i="6" s="1"/>
  <c r="X25" i="6"/>
  <c r="Y25" i="6" s="1"/>
  <c r="X41" i="6"/>
  <c r="Y41" i="6" s="1"/>
  <c r="X57" i="6"/>
  <c r="Y57" i="6" s="1"/>
  <c r="P18" i="5"/>
  <c r="X16" i="6"/>
  <c r="Y16" i="6" s="1"/>
  <c r="X22" i="6"/>
  <c r="Y22" i="6" s="1"/>
  <c r="X32" i="6"/>
  <c r="Y32" i="6" s="1"/>
  <c r="X38" i="6"/>
  <c r="Y38" i="6" s="1"/>
  <c r="X43" i="6"/>
  <c r="Y43" i="6" s="1"/>
  <c r="X48" i="6"/>
  <c r="Y48" i="6" s="1"/>
  <c r="X54" i="6"/>
  <c r="Y54" i="6" s="1"/>
  <c r="X59" i="6"/>
  <c r="Y59" i="6" s="1"/>
  <c r="X64" i="6"/>
  <c r="Y64" i="6" s="1"/>
  <c r="P58" i="5"/>
  <c r="P34" i="5"/>
  <c r="P10" i="5"/>
  <c r="X11" i="6"/>
  <c r="Y11" i="6" s="1"/>
  <c r="P63" i="5"/>
  <c r="P55" i="5"/>
  <c r="P47" i="5"/>
  <c r="P39" i="5"/>
  <c r="P31" i="5"/>
  <c r="P23" i="5"/>
  <c r="P15" i="5"/>
  <c r="P7" i="5"/>
  <c r="X8" i="6"/>
  <c r="Y8" i="6" s="1"/>
  <c r="X19" i="6"/>
  <c r="Y19" i="6" s="1"/>
  <c r="X24" i="6"/>
  <c r="Y24" i="6" s="1"/>
  <c r="X35" i="6"/>
  <c r="Y35" i="6" s="1"/>
  <c r="X40" i="6"/>
  <c r="Y40" i="6" s="1"/>
  <c r="X51" i="6"/>
  <c r="Y51" i="6" s="1"/>
  <c r="X56" i="6"/>
  <c r="Y56" i="6" s="1"/>
  <c r="P42" i="5"/>
  <c r="P60" i="5"/>
  <c r="P52" i="5"/>
  <c r="P44" i="5"/>
  <c r="P36" i="5"/>
  <c r="P28" i="5"/>
  <c r="P20" i="5"/>
  <c r="P12" i="5"/>
  <c r="X13" i="6"/>
  <c r="Y13" i="6" s="1"/>
  <c r="X29" i="6"/>
  <c r="Y29" i="6" s="1"/>
  <c r="X45" i="6"/>
  <c r="Y45" i="6" s="1"/>
  <c r="X61" i="6"/>
  <c r="Y61" i="6" s="1"/>
  <c r="P43" i="5"/>
  <c r="P66" i="5"/>
  <c r="P50" i="5"/>
  <c r="P26" i="5"/>
  <c r="X6" i="6"/>
  <c r="Y6" i="6" s="1"/>
  <c r="X27" i="6"/>
  <c r="Y27" i="6" s="1"/>
  <c r="P65" i="5"/>
  <c r="P57" i="5"/>
  <c r="P49" i="5"/>
  <c r="P41" i="5"/>
  <c r="P33" i="5"/>
  <c r="P25" i="5"/>
  <c r="P17" i="5"/>
  <c r="P9" i="5"/>
  <c r="X5" i="6"/>
  <c r="Y5" i="6" s="1"/>
  <c r="X10" i="6"/>
  <c r="Y10" i="6" s="1"/>
  <c r="X18" i="6"/>
  <c r="Y18" i="6" s="1"/>
  <c r="X21" i="6"/>
  <c r="Y21" i="6" s="1"/>
  <c r="X26" i="6"/>
  <c r="Y26" i="6" s="1"/>
  <c r="X34" i="6"/>
  <c r="Y34" i="6" s="1"/>
  <c r="X37" i="6"/>
  <c r="Y37" i="6" s="1"/>
  <c r="X42" i="6"/>
  <c r="Y42" i="6" s="1"/>
  <c r="X50" i="6"/>
  <c r="Y50" i="6" s="1"/>
  <c r="X53" i="6"/>
  <c r="Y53" i="6" s="1"/>
  <c r="X58" i="6"/>
  <c r="Y58" i="6" s="1"/>
  <c r="X65" i="6"/>
  <c r="Y65" i="6" s="1"/>
  <c r="N60" i="5"/>
  <c r="N52" i="5"/>
  <c r="N44" i="5"/>
  <c r="N36" i="5"/>
  <c r="N28" i="5"/>
  <c r="N20" i="5"/>
  <c r="N12" i="5"/>
  <c r="N59" i="5"/>
  <c r="N51" i="5"/>
  <c r="N43" i="5"/>
  <c r="N35" i="5"/>
  <c r="N27" i="5"/>
  <c r="N19" i="5"/>
  <c r="E4" i="1"/>
  <c r="R8" i="6"/>
  <c r="S8" i="6" s="1"/>
  <c r="R48" i="6"/>
  <c r="S48" i="6" s="1"/>
  <c r="R9" i="6"/>
  <c r="S9" i="6" s="1"/>
  <c r="R29" i="6"/>
  <c r="S29" i="6" s="1"/>
  <c r="R49" i="6"/>
  <c r="S49" i="6" s="1"/>
  <c r="R65" i="6"/>
  <c r="S65" i="6" s="1"/>
  <c r="R6" i="6"/>
  <c r="S6" i="6" s="1"/>
  <c r="R10" i="6"/>
  <c r="S10" i="6" s="1"/>
  <c r="R14" i="6"/>
  <c r="S14" i="6" s="1"/>
  <c r="R18" i="6"/>
  <c r="S18" i="6" s="1"/>
  <c r="R22" i="6"/>
  <c r="S22" i="6" s="1"/>
  <c r="R26" i="6"/>
  <c r="S26" i="6" s="1"/>
  <c r="R30" i="6"/>
  <c r="S30" i="6" s="1"/>
  <c r="R34" i="6"/>
  <c r="S34" i="6" s="1"/>
  <c r="R38" i="6"/>
  <c r="S38" i="6" s="1"/>
  <c r="R42" i="6"/>
  <c r="S42" i="6" s="1"/>
  <c r="R46" i="6"/>
  <c r="S46" i="6" s="1"/>
  <c r="R50" i="6"/>
  <c r="S50" i="6" s="1"/>
  <c r="R54" i="6"/>
  <c r="S54" i="6" s="1"/>
  <c r="R58" i="6"/>
  <c r="S58" i="6" s="1"/>
  <c r="R62" i="6"/>
  <c r="S62" i="6" s="1"/>
  <c r="R66" i="6"/>
  <c r="S66" i="6" s="1"/>
  <c r="R13" i="6"/>
  <c r="S13" i="6" s="1"/>
  <c r="R45" i="6"/>
  <c r="S45" i="6" s="1"/>
  <c r="R7" i="6"/>
  <c r="S7" i="6" s="1"/>
  <c r="R11" i="6"/>
  <c r="S11" i="6" s="1"/>
  <c r="R15" i="6"/>
  <c r="S15" i="6" s="1"/>
  <c r="R19" i="6"/>
  <c r="S19" i="6" s="1"/>
  <c r="R23" i="6"/>
  <c r="S23" i="6" s="1"/>
  <c r="R27" i="6"/>
  <c r="S27" i="6" s="1"/>
  <c r="R31" i="6"/>
  <c r="S31" i="6" s="1"/>
  <c r="R35" i="6"/>
  <c r="S35" i="6" s="1"/>
  <c r="R39" i="6"/>
  <c r="S39" i="6" s="1"/>
  <c r="R43" i="6"/>
  <c r="S43" i="6" s="1"/>
  <c r="R47" i="6"/>
  <c r="S47" i="6" s="1"/>
  <c r="R51" i="6"/>
  <c r="S51" i="6" s="1"/>
  <c r="R55" i="6"/>
  <c r="S55" i="6" s="1"/>
  <c r="R59" i="6"/>
  <c r="S59" i="6" s="1"/>
  <c r="R63" i="6"/>
  <c r="S63" i="6" s="1"/>
  <c r="R5" i="6"/>
  <c r="S5" i="6" s="1"/>
  <c r="R21" i="6"/>
  <c r="S21" i="6" s="1"/>
  <c r="R37" i="6"/>
  <c r="S37" i="6" s="1"/>
  <c r="R53" i="6"/>
  <c r="S53" i="6" s="1"/>
  <c r="R61" i="6"/>
  <c r="S61" i="6" s="1"/>
  <c r="R4" i="6"/>
  <c r="S4" i="6" s="1"/>
  <c r="R12" i="6"/>
  <c r="S12" i="6" s="1"/>
  <c r="R16" i="6"/>
  <c r="S16" i="6" s="1"/>
  <c r="R20" i="6"/>
  <c r="S20" i="6" s="1"/>
  <c r="R24" i="6"/>
  <c r="S24" i="6" s="1"/>
  <c r="R28" i="6"/>
  <c r="S28" i="6" s="1"/>
  <c r="R32" i="6"/>
  <c r="S32" i="6" s="1"/>
  <c r="R36" i="6"/>
  <c r="S36" i="6" s="1"/>
  <c r="R40" i="6"/>
  <c r="S40" i="6" s="1"/>
  <c r="R44" i="6"/>
  <c r="S44" i="6" s="1"/>
  <c r="R52" i="6"/>
  <c r="S52" i="6" s="1"/>
  <c r="R56" i="6"/>
  <c r="S56" i="6" s="1"/>
  <c r="R60" i="6"/>
  <c r="S60" i="6" s="1"/>
  <c r="R64" i="6"/>
  <c r="S64" i="6" s="1"/>
  <c r="R17" i="6"/>
  <c r="S17" i="6" s="1"/>
  <c r="R25" i="6"/>
  <c r="S25" i="6" s="1"/>
  <c r="R33" i="6"/>
  <c r="S33" i="6" s="1"/>
  <c r="R41" i="6"/>
  <c r="S41" i="6" s="1"/>
  <c r="R57" i="6"/>
  <c r="S57" i="6" s="1"/>
  <c r="N66" i="5"/>
  <c r="N58" i="5"/>
  <c r="N50" i="5"/>
  <c r="N42" i="5"/>
  <c r="N34" i="5"/>
  <c r="N26" i="5"/>
  <c r="N18" i="5"/>
  <c r="N10" i="5"/>
  <c r="N65" i="5"/>
  <c r="N57" i="5"/>
  <c r="N49" i="5"/>
  <c r="N41" i="5"/>
  <c r="N33" i="5"/>
  <c r="N25" i="5"/>
  <c r="N17" i="5"/>
  <c r="N9" i="5"/>
  <c r="N4" i="5"/>
  <c r="N64" i="5"/>
  <c r="N56" i="5"/>
  <c r="N48" i="5"/>
  <c r="N40" i="5"/>
  <c r="N32" i="5"/>
  <c r="N24" i="5"/>
  <c r="N16" i="5"/>
  <c r="N8" i="5"/>
  <c r="N63" i="5"/>
  <c r="N55" i="5"/>
  <c r="N47" i="5"/>
  <c r="N39" i="5"/>
  <c r="N31" i="5"/>
  <c r="N23" i="5"/>
  <c r="N15" i="5"/>
  <c r="N7" i="5"/>
  <c r="N62" i="5"/>
  <c r="N54" i="5"/>
  <c r="N46" i="5"/>
  <c r="N38" i="5"/>
  <c r="N30" i="5"/>
  <c r="N22" i="5"/>
  <c r="N14" i="5"/>
  <c r="N6" i="5"/>
  <c r="M66" i="5"/>
  <c r="M58" i="5"/>
  <c r="M50" i="5"/>
  <c r="M42" i="5"/>
  <c r="M34" i="5"/>
  <c r="M26" i="5"/>
  <c r="M18" i="5"/>
  <c r="M10" i="5"/>
  <c r="O5" i="6"/>
  <c r="P5" i="6" s="1"/>
  <c r="O8" i="6"/>
  <c r="P8" i="6" s="1"/>
  <c r="O21" i="6"/>
  <c r="P21" i="6" s="1"/>
  <c r="O24" i="6"/>
  <c r="P24" i="6" s="1"/>
  <c r="O37" i="6"/>
  <c r="P37" i="6" s="1"/>
  <c r="O40" i="6"/>
  <c r="P40" i="6" s="1"/>
  <c r="O53" i="6"/>
  <c r="P53" i="6" s="1"/>
  <c r="O56" i="6"/>
  <c r="P56" i="6" s="1"/>
  <c r="O65" i="6"/>
  <c r="P65" i="6" s="1"/>
  <c r="M65" i="5"/>
  <c r="M57" i="5"/>
  <c r="M49" i="5"/>
  <c r="M41" i="5"/>
  <c r="M33" i="5"/>
  <c r="M25" i="5"/>
  <c r="M17" i="5"/>
  <c r="M9" i="5"/>
  <c r="O11" i="6"/>
  <c r="P11" i="6" s="1"/>
  <c r="O14" i="6"/>
  <c r="P14" i="6" s="1"/>
  <c r="O27" i="6"/>
  <c r="P27" i="6" s="1"/>
  <c r="O30" i="6"/>
  <c r="P30" i="6" s="1"/>
  <c r="O43" i="6"/>
  <c r="P43" i="6" s="1"/>
  <c r="O46" i="6"/>
  <c r="P46" i="6" s="1"/>
  <c r="O59" i="6"/>
  <c r="P59" i="6" s="1"/>
  <c r="O62" i="6"/>
  <c r="P62" i="6" s="1"/>
  <c r="E3" i="1"/>
  <c r="O6" i="6"/>
  <c r="P6" i="6" s="1"/>
  <c r="M63" i="5"/>
  <c r="M55" i="5"/>
  <c r="M47" i="5"/>
  <c r="M39" i="5"/>
  <c r="M31" i="5"/>
  <c r="M23" i="5"/>
  <c r="M15" i="5"/>
  <c r="M7" i="5"/>
  <c r="O7" i="6"/>
  <c r="P7" i="6" s="1"/>
  <c r="O10" i="6"/>
  <c r="P10" i="6" s="1"/>
  <c r="O23" i="6"/>
  <c r="P23" i="6" s="1"/>
  <c r="O26" i="6"/>
  <c r="P26" i="6" s="1"/>
  <c r="O39" i="6"/>
  <c r="P39" i="6" s="1"/>
  <c r="O42" i="6"/>
  <c r="P42" i="6" s="1"/>
  <c r="O55" i="6"/>
  <c r="P55" i="6" s="1"/>
  <c r="O58" i="6"/>
  <c r="P58" i="6" s="1"/>
  <c r="M62" i="5"/>
  <c r="M54" i="5"/>
  <c r="M46" i="5"/>
  <c r="M38" i="5"/>
  <c r="M30" i="5"/>
  <c r="M22" i="5"/>
  <c r="M14" i="5"/>
  <c r="M6" i="5"/>
  <c r="O13" i="6"/>
  <c r="P13" i="6" s="1"/>
  <c r="O16" i="6"/>
  <c r="P16" i="6" s="1"/>
  <c r="O29" i="6"/>
  <c r="P29" i="6" s="1"/>
  <c r="O32" i="6"/>
  <c r="P32" i="6" s="1"/>
  <c r="O45" i="6"/>
  <c r="P45" i="6" s="1"/>
  <c r="O48" i="6"/>
  <c r="P48" i="6" s="1"/>
  <c r="O61" i="6"/>
  <c r="P61" i="6" s="1"/>
  <c r="O64" i="6"/>
  <c r="P64" i="6" s="1"/>
  <c r="O66" i="6"/>
  <c r="L60" i="5"/>
  <c r="L52" i="5"/>
  <c r="L44" i="5"/>
  <c r="L36" i="5"/>
  <c r="L28" i="5"/>
  <c r="L20" i="5"/>
  <c r="L12" i="5"/>
  <c r="L4" i="5"/>
  <c r="L8" i="6"/>
  <c r="M8" i="6" s="1"/>
  <c r="L12" i="6"/>
  <c r="M12" i="6" s="1"/>
  <c r="L16" i="6"/>
  <c r="M16" i="6" s="1"/>
  <c r="L20" i="6"/>
  <c r="M20" i="6" s="1"/>
  <c r="L24" i="6"/>
  <c r="M24" i="6" s="1"/>
  <c r="L28" i="6"/>
  <c r="M28" i="6" s="1"/>
  <c r="L32" i="6"/>
  <c r="M32" i="6" s="1"/>
  <c r="L36" i="6"/>
  <c r="M36" i="6" s="1"/>
  <c r="L40" i="6"/>
  <c r="M40" i="6" s="1"/>
  <c r="L44" i="6"/>
  <c r="M44" i="6" s="1"/>
  <c r="L48" i="6"/>
  <c r="M48" i="6" s="1"/>
  <c r="L52" i="6"/>
  <c r="M52" i="6" s="1"/>
  <c r="L56" i="6"/>
  <c r="M56" i="6" s="1"/>
  <c r="L60" i="6"/>
  <c r="M60" i="6" s="1"/>
  <c r="L59" i="5"/>
  <c r="L51" i="5"/>
  <c r="L43" i="5"/>
  <c r="L35" i="5"/>
  <c r="L27" i="5"/>
  <c r="L19" i="5"/>
  <c r="L11" i="5"/>
  <c r="L4" i="6"/>
  <c r="M4" i="6" s="1"/>
  <c r="L66" i="6"/>
  <c r="L65" i="5"/>
  <c r="L57" i="5"/>
  <c r="L49" i="5"/>
  <c r="L41" i="5"/>
  <c r="L33" i="5"/>
  <c r="L25" i="5"/>
  <c r="L17" i="5"/>
  <c r="L9" i="5"/>
  <c r="E2" i="1"/>
  <c r="L64" i="5"/>
  <c r="L56" i="5"/>
  <c r="L48" i="5"/>
  <c r="L40" i="5"/>
  <c r="L32" i="5"/>
  <c r="L24" i="5"/>
  <c r="L16" i="5"/>
  <c r="L8" i="5"/>
  <c r="L10" i="6"/>
  <c r="M10" i="6" s="1"/>
  <c r="L14" i="6"/>
  <c r="M14" i="6" s="1"/>
  <c r="L18" i="6"/>
  <c r="M18" i="6" s="1"/>
  <c r="L22" i="6"/>
  <c r="M22" i="6" s="1"/>
  <c r="L26" i="6"/>
  <c r="M26" i="6" s="1"/>
  <c r="L30" i="6"/>
  <c r="M30" i="6" s="1"/>
  <c r="L34" i="6"/>
  <c r="M34" i="6" s="1"/>
  <c r="L38" i="6"/>
  <c r="M38" i="6" s="1"/>
  <c r="L42" i="6"/>
  <c r="M42" i="6" s="1"/>
  <c r="L46" i="6"/>
  <c r="M46" i="6" s="1"/>
  <c r="L50" i="6"/>
  <c r="M50" i="6" s="1"/>
  <c r="L54" i="6"/>
  <c r="M54" i="6" s="1"/>
  <c r="L58" i="6"/>
  <c r="M58" i="6" s="1"/>
  <c r="L62" i="6"/>
  <c r="M62" i="6" s="1"/>
  <c r="F63" i="6"/>
  <c r="H63" i="6" s="1"/>
  <c r="E65" i="6"/>
  <c r="E66" i="6"/>
  <c r="E64" i="6"/>
  <c r="G49" i="6"/>
  <c r="I49" i="6" s="1"/>
  <c r="J49" i="6" s="1"/>
  <c r="G38" i="6"/>
  <c r="I38" i="6" s="1"/>
  <c r="J38" i="6" s="1"/>
  <c r="H39" i="6"/>
  <c r="F6" i="6"/>
  <c r="H6" i="6" s="1"/>
  <c r="H46" i="6"/>
  <c r="G14" i="6"/>
  <c r="I14" i="6" s="1"/>
  <c r="J14" i="6" s="1"/>
  <c r="F54" i="6"/>
  <c r="H54" i="6" s="1"/>
  <c r="F22" i="6"/>
  <c r="H22" i="6" s="1"/>
  <c r="H29" i="6"/>
  <c r="G57" i="6"/>
  <c r="I57" i="6" s="1"/>
  <c r="J57" i="6" s="1"/>
  <c r="H16" i="6"/>
  <c r="G63" i="6"/>
  <c r="I63" i="6" s="1"/>
  <c r="J63" i="6" s="1"/>
  <c r="G19" i="6"/>
  <c r="I19" i="6" s="1"/>
  <c r="J19" i="6" s="1"/>
  <c r="G46" i="6"/>
  <c r="I46" i="6" s="1"/>
  <c r="J46" i="6" s="1"/>
  <c r="H47" i="6"/>
  <c r="F55" i="6"/>
  <c r="H55" i="6" s="1"/>
  <c r="G33" i="6"/>
  <c r="I33" i="6" s="1"/>
  <c r="J33" i="6" s="1"/>
  <c r="G47" i="6"/>
  <c r="I47" i="6" s="1"/>
  <c r="J47" i="6" s="1"/>
  <c r="H57" i="6"/>
  <c r="H9" i="6"/>
  <c r="G24" i="6"/>
  <c r="I24" i="6" s="1"/>
  <c r="J24" i="6" s="1"/>
  <c r="F40" i="6"/>
  <c r="H40" i="6" s="1"/>
  <c r="F62" i="6"/>
  <c r="H62" i="6" s="1"/>
  <c r="G31" i="6"/>
  <c r="I31" i="6" s="1"/>
  <c r="J31" i="6" s="1"/>
  <c r="G41" i="6"/>
  <c r="I41" i="6" s="1"/>
  <c r="J41" i="6" s="1"/>
  <c r="F50" i="6"/>
  <c r="H50" i="6" s="1"/>
  <c r="H51" i="6"/>
  <c r="F30" i="6"/>
  <c r="H30" i="6" s="1"/>
  <c r="G51" i="6"/>
  <c r="I51" i="6" s="1"/>
  <c r="J51" i="6" s="1"/>
  <c r="F58" i="6"/>
  <c r="H58" i="6" s="1"/>
  <c r="F11" i="6"/>
  <c r="H11" i="6" s="1"/>
  <c r="G16" i="6"/>
  <c r="I16" i="6" s="1"/>
  <c r="J16" i="6" s="1"/>
  <c r="G25" i="6"/>
  <c r="I25" i="6" s="1"/>
  <c r="J25" i="6" s="1"/>
  <c r="F35" i="6"/>
  <c r="H35" i="6" s="1"/>
  <c r="G43" i="6"/>
  <c r="I43" i="6" s="1"/>
  <c r="J43" i="6" s="1"/>
  <c r="F48" i="6"/>
  <c r="H48" i="6" s="1"/>
  <c r="H25" i="6"/>
  <c r="F42" i="6"/>
  <c r="H42" i="6" s="1"/>
  <c r="F56" i="6"/>
  <c r="H56" i="6" s="1"/>
  <c r="G9" i="6"/>
  <c r="I9" i="6" s="1"/>
  <c r="J9" i="6" s="1"/>
  <c r="H17" i="6"/>
  <c r="H24" i="6"/>
  <c r="F27" i="6"/>
  <c r="H27" i="6" s="1"/>
  <c r="F32" i="6"/>
  <c r="H32" i="6" s="1"/>
  <c r="H53" i="6"/>
  <c r="F8" i="6"/>
  <c r="H8" i="6" s="1"/>
  <c r="G17" i="6"/>
  <c r="I17" i="6" s="1"/>
  <c r="J17" i="6" s="1"/>
  <c r="G23" i="6"/>
  <c r="I23" i="6" s="1"/>
  <c r="J23" i="6" s="1"/>
  <c r="G39" i="6"/>
  <c r="I39" i="6" s="1"/>
  <c r="J39" i="6" s="1"/>
  <c r="H41" i="6"/>
  <c r="H14" i="6"/>
  <c r="H33" i="6"/>
  <c r="H38" i="6"/>
  <c r="H21" i="6"/>
  <c r="H43" i="6"/>
  <c r="H31" i="6"/>
  <c r="H23" i="6"/>
  <c r="H45" i="6"/>
  <c r="K5" i="6"/>
  <c r="H37" i="6"/>
  <c r="H49" i="6"/>
  <c r="H19" i="6"/>
  <c r="F7" i="6"/>
  <c r="H7" i="6" s="1"/>
  <c r="F15" i="6"/>
  <c r="H15" i="6" s="1"/>
  <c r="F5" i="6"/>
  <c r="H5" i="6" s="1"/>
  <c r="F13" i="6"/>
  <c r="H13" i="6" s="1"/>
  <c r="F61" i="6"/>
  <c r="H61" i="6" s="1"/>
  <c r="F4" i="6"/>
  <c r="H4" i="6" s="1"/>
  <c r="F12" i="6"/>
  <c r="H12" i="6" s="1"/>
  <c r="F20" i="6"/>
  <c r="H20" i="6" s="1"/>
  <c r="G21" i="6"/>
  <c r="I21" i="6" s="1"/>
  <c r="J21" i="6" s="1"/>
  <c r="F28" i="6"/>
  <c r="H28" i="6" s="1"/>
  <c r="G29" i="6"/>
  <c r="I29" i="6" s="1"/>
  <c r="J29" i="6" s="1"/>
  <c r="F36" i="6"/>
  <c r="H36" i="6" s="1"/>
  <c r="G37" i="6"/>
  <c r="I37" i="6" s="1"/>
  <c r="J37" i="6" s="1"/>
  <c r="F44" i="6"/>
  <c r="H44" i="6" s="1"/>
  <c r="G45" i="6"/>
  <c r="I45" i="6" s="1"/>
  <c r="J45" i="6" s="1"/>
  <c r="F52" i="6"/>
  <c r="H52" i="6" s="1"/>
  <c r="G53" i="6"/>
  <c r="I53" i="6" s="1"/>
  <c r="J53" i="6" s="1"/>
  <c r="F60" i="6"/>
  <c r="H60" i="6" s="1"/>
  <c r="F59" i="6"/>
  <c r="H59" i="6" s="1"/>
  <c r="F10" i="6"/>
  <c r="H10" i="6" s="1"/>
  <c r="F18" i="6"/>
  <c r="H18" i="6" s="1"/>
  <c r="F26" i="6"/>
  <c r="H26" i="6" s="1"/>
  <c r="F34" i="6"/>
  <c r="H34" i="6" s="1"/>
  <c r="G58" i="5"/>
  <c r="I58" i="5" s="1"/>
  <c r="J58" i="5" s="1"/>
  <c r="G18" i="5"/>
  <c r="I18" i="5" s="1"/>
  <c r="J18" i="5" s="1"/>
  <c r="G19" i="5"/>
  <c r="I19" i="5" s="1"/>
  <c r="J19" i="5" s="1"/>
  <c r="F25" i="5"/>
  <c r="H25" i="5" s="1"/>
  <c r="G43" i="5"/>
  <c r="I43" i="5" s="1"/>
  <c r="J43" i="5" s="1"/>
  <c r="G26" i="5"/>
  <c r="I26" i="5" s="1"/>
  <c r="J26" i="5" s="1"/>
  <c r="F30" i="5"/>
  <c r="H30" i="5" s="1"/>
  <c r="F22" i="5"/>
  <c r="H22" i="5" s="1"/>
  <c r="G11" i="5"/>
  <c r="I11" i="5" s="1"/>
  <c r="J11" i="5" s="1"/>
  <c r="G51" i="5"/>
  <c r="I51" i="5" s="1"/>
  <c r="J51" i="5" s="1"/>
  <c r="G50" i="5"/>
  <c r="I50" i="5" s="1"/>
  <c r="J50" i="5" s="1"/>
  <c r="K4" i="5"/>
  <c r="F62" i="5"/>
  <c r="H62" i="5" s="1"/>
  <c r="F14" i="5"/>
  <c r="H14" i="5" s="1"/>
  <c r="G42" i="5"/>
  <c r="I42" i="5" s="1"/>
  <c r="J42" i="5" s="1"/>
  <c r="G10" i="5"/>
  <c r="I10" i="5" s="1"/>
  <c r="J10" i="5" s="1"/>
  <c r="F4" i="5"/>
  <c r="H4" i="5" s="1"/>
  <c r="F54" i="5"/>
  <c r="H54" i="5" s="1"/>
  <c r="G35" i="5"/>
  <c r="I35" i="5" s="1"/>
  <c r="J35" i="5" s="1"/>
  <c r="F46" i="5"/>
  <c r="H46" i="5" s="1"/>
  <c r="F6" i="5"/>
  <c r="H6" i="5" s="1"/>
  <c r="G34" i="5"/>
  <c r="I34" i="5" s="1"/>
  <c r="J34" i="5" s="1"/>
  <c r="F16" i="5"/>
  <c r="H16" i="5" s="1"/>
  <c r="F38" i="5"/>
  <c r="H38" i="5" s="1"/>
  <c r="F55" i="5"/>
  <c r="H55" i="5" s="1"/>
  <c r="G59" i="5"/>
  <c r="I59" i="5" s="1"/>
  <c r="J59" i="5" s="1"/>
  <c r="G27" i="5"/>
  <c r="I27" i="5" s="1"/>
  <c r="J27" i="5" s="1"/>
  <c r="G61" i="5"/>
  <c r="I61" i="5" s="1"/>
  <c r="J61" i="5" s="1"/>
  <c r="G53" i="5"/>
  <c r="I53" i="5" s="1"/>
  <c r="J53" i="5" s="1"/>
  <c r="G45" i="5"/>
  <c r="I45" i="5" s="1"/>
  <c r="J45" i="5" s="1"/>
  <c r="G37" i="5"/>
  <c r="I37" i="5" s="1"/>
  <c r="J37" i="5" s="1"/>
  <c r="G29" i="5"/>
  <c r="I29" i="5" s="1"/>
  <c r="J29" i="5" s="1"/>
  <c r="G21" i="5"/>
  <c r="I21" i="5" s="1"/>
  <c r="J21" i="5" s="1"/>
  <c r="G13" i="5"/>
  <c r="I13" i="5" s="1"/>
  <c r="J13" i="5" s="1"/>
  <c r="G5" i="5"/>
  <c r="I5" i="5" s="1"/>
  <c r="J5" i="5" s="1"/>
  <c r="F33" i="5"/>
  <c r="H33" i="5" s="1"/>
  <c r="G60" i="5"/>
  <c r="I60" i="5" s="1"/>
  <c r="J60" i="5" s="1"/>
  <c r="G52" i="5"/>
  <c r="I52" i="5" s="1"/>
  <c r="J52" i="5" s="1"/>
  <c r="G44" i="5"/>
  <c r="I44" i="5" s="1"/>
  <c r="J44" i="5" s="1"/>
  <c r="G36" i="5"/>
  <c r="I36" i="5" s="1"/>
  <c r="J36" i="5" s="1"/>
  <c r="G28" i="5"/>
  <c r="I28" i="5" s="1"/>
  <c r="J28" i="5" s="1"/>
  <c r="G20" i="5"/>
  <c r="I20" i="5" s="1"/>
  <c r="J20" i="5" s="1"/>
  <c r="G12" i="5"/>
  <c r="I12" i="5" s="1"/>
  <c r="J12" i="5" s="1"/>
  <c r="F39" i="5"/>
  <c r="H39" i="5" s="1"/>
  <c r="G57" i="5"/>
  <c r="I57" i="5" s="1"/>
  <c r="J57" i="5" s="1"/>
  <c r="G49" i="5"/>
  <c r="I49" i="5" s="1"/>
  <c r="J49" i="5" s="1"/>
  <c r="G41" i="5"/>
  <c r="I41" i="5" s="1"/>
  <c r="J41" i="5" s="1"/>
  <c r="G17" i="5"/>
  <c r="I17" i="5" s="1"/>
  <c r="J17" i="5" s="1"/>
  <c r="F23" i="5"/>
  <c r="H23" i="5" s="1"/>
  <c r="G56" i="5"/>
  <c r="I56" i="5" s="1"/>
  <c r="J56" i="5" s="1"/>
  <c r="G48" i="5"/>
  <c r="I48" i="5" s="1"/>
  <c r="J48" i="5" s="1"/>
  <c r="G40" i="5"/>
  <c r="I40" i="5" s="1"/>
  <c r="J40" i="5" s="1"/>
  <c r="G32" i="5"/>
  <c r="I32" i="5" s="1"/>
  <c r="J32" i="5" s="1"/>
  <c r="G24" i="5"/>
  <c r="I24" i="5" s="1"/>
  <c r="J24" i="5" s="1"/>
  <c r="G8" i="5"/>
  <c r="I8" i="5" s="1"/>
  <c r="J8" i="5" s="1"/>
  <c r="F15" i="5"/>
  <c r="H15" i="5" s="1"/>
  <c r="G63" i="5"/>
  <c r="I63" i="5" s="1"/>
  <c r="J63" i="5" s="1"/>
  <c r="G47" i="5"/>
  <c r="I47" i="5" s="1"/>
  <c r="J47" i="5" s="1"/>
  <c r="G31" i="5"/>
  <c r="I31" i="5" s="1"/>
  <c r="J31" i="5" s="1"/>
  <c r="G7" i="5"/>
  <c r="I7" i="5" s="1"/>
  <c r="J7" i="5" s="1"/>
  <c r="H63" i="5"/>
  <c r="H37" i="5"/>
  <c r="H53" i="5"/>
  <c r="H21" i="5"/>
  <c r="H5" i="5"/>
  <c r="H17" i="5"/>
  <c r="H45" i="5"/>
  <c r="H13" i="5"/>
  <c r="H58" i="5"/>
  <c r="H41" i="5"/>
  <c r="H24" i="5"/>
  <c r="H43" i="5"/>
  <c r="H57" i="5"/>
  <c r="H40" i="5"/>
  <c r="H59" i="5"/>
  <c r="H31" i="5"/>
  <c r="H60" i="5"/>
  <c r="H52" i="5"/>
  <c r="H44" i="5"/>
  <c r="H36" i="5"/>
  <c r="H28" i="5"/>
  <c r="H20" i="5"/>
  <c r="H49" i="5"/>
  <c r="H32" i="5"/>
  <c r="H51" i="5"/>
  <c r="H35" i="5"/>
  <c r="H19" i="5"/>
  <c r="H11" i="5"/>
  <c r="H48" i="5"/>
  <c r="H10" i="5"/>
  <c r="H27" i="5"/>
  <c r="H50" i="5"/>
  <c r="H34" i="5"/>
  <c r="H18" i="5"/>
  <c r="H56" i="5"/>
  <c r="H26" i="5"/>
  <c r="H9" i="5"/>
  <c r="H66" i="5"/>
  <c r="H47" i="5"/>
  <c r="H42" i="5"/>
  <c r="H8" i="5"/>
  <c r="H7" i="5"/>
  <c r="H61" i="5"/>
  <c r="H29" i="5"/>
  <c r="K6" i="6" l="1"/>
  <c r="K7" i="6"/>
  <c r="K4" i="6"/>
  <c r="K8" i="6"/>
  <c r="M66" i="6"/>
  <c r="P66" i="6"/>
  <c r="K7" i="5"/>
  <c r="F66" i="6"/>
  <c r="H66" i="6" s="1"/>
  <c r="N66" i="6" s="1"/>
  <c r="G66" i="6"/>
  <c r="I66" i="6" s="1"/>
  <c r="J66" i="6" s="1"/>
  <c r="G65" i="6"/>
  <c r="I65" i="6" s="1"/>
  <c r="J65" i="6" s="1"/>
  <c r="F65" i="6"/>
  <c r="H65" i="6" s="1"/>
  <c r="N65" i="6" s="1"/>
  <c r="G64" i="6"/>
  <c r="I64" i="6" s="1"/>
  <c r="J64" i="6" s="1"/>
  <c r="F64" i="6"/>
  <c r="H64" i="6" s="1"/>
  <c r="Z64" i="6" s="1"/>
  <c r="AC55" i="6"/>
  <c r="W55" i="6"/>
  <c r="Q55" i="6"/>
  <c r="Z55" i="6"/>
  <c r="T55" i="6"/>
  <c r="N55" i="6"/>
  <c r="AC24" i="6"/>
  <c r="W24" i="6"/>
  <c r="Q24" i="6"/>
  <c r="Z24" i="6"/>
  <c r="T24" i="6"/>
  <c r="N24" i="6"/>
  <c r="W48" i="6"/>
  <c r="AC48" i="6"/>
  <c r="Q48" i="6"/>
  <c r="Z48" i="6"/>
  <c r="T48" i="6"/>
  <c r="N48" i="6"/>
  <c r="AC30" i="6"/>
  <c r="W30" i="6"/>
  <c r="Q30" i="6"/>
  <c r="Z30" i="6"/>
  <c r="T30" i="6"/>
  <c r="N30" i="6"/>
  <c r="AC54" i="6"/>
  <c r="W54" i="6"/>
  <c r="Q54" i="6"/>
  <c r="Z54" i="6"/>
  <c r="T54" i="6"/>
  <c r="N54" i="6"/>
  <c r="AC7" i="6"/>
  <c r="W7" i="6"/>
  <c r="Q7" i="6"/>
  <c r="Z7" i="6"/>
  <c r="T7" i="6"/>
  <c r="N7" i="6"/>
  <c r="AC63" i="6"/>
  <c r="W63" i="6"/>
  <c r="Q63" i="6"/>
  <c r="Z63" i="6"/>
  <c r="T63" i="6"/>
  <c r="N63" i="6"/>
  <c r="AC17" i="6"/>
  <c r="W17" i="6"/>
  <c r="N17" i="6"/>
  <c r="T17" i="6"/>
  <c r="Z17" i="6"/>
  <c r="Q17" i="6"/>
  <c r="W9" i="6"/>
  <c r="Q9" i="6"/>
  <c r="AC9" i="6"/>
  <c r="T9" i="6"/>
  <c r="N9" i="6"/>
  <c r="Z9" i="6"/>
  <c r="AC15" i="6"/>
  <c r="W15" i="6"/>
  <c r="Q15" i="6"/>
  <c r="Z15" i="6"/>
  <c r="T15" i="6"/>
  <c r="N15" i="6"/>
  <c r="Z52" i="6"/>
  <c r="T52" i="6"/>
  <c r="N52" i="6"/>
  <c r="AC52" i="6"/>
  <c r="W52" i="6"/>
  <c r="Q52" i="6"/>
  <c r="Z20" i="6"/>
  <c r="T20" i="6"/>
  <c r="N20" i="6"/>
  <c r="AC20" i="6"/>
  <c r="W20" i="6"/>
  <c r="Q20" i="6"/>
  <c r="AC38" i="6"/>
  <c r="W38" i="6"/>
  <c r="Q38" i="6"/>
  <c r="Z38" i="6"/>
  <c r="T38" i="6"/>
  <c r="N38" i="6"/>
  <c r="AC6" i="6"/>
  <c r="W6" i="6"/>
  <c r="Q6" i="6"/>
  <c r="Z6" i="6"/>
  <c r="T6" i="6"/>
  <c r="N6" i="6"/>
  <c r="Z35" i="6"/>
  <c r="T35" i="6"/>
  <c r="N35" i="6"/>
  <c r="AC35" i="6"/>
  <c r="W35" i="6"/>
  <c r="Q35" i="6"/>
  <c r="Z51" i="6"/>
  <c r="T51" i="6"/>
  <c r="N51" i="6"/>
  <c r="AC51" i="6"/>
  <c r="W51" i="6"/>
  <c r="Q51" i="6"/>
  <c r="Q57" i="6"/>
  <c r="T57" i="6"/>
  <c r="N57" i="6"/>
  <c r="W57" i="6"/>
  <c r="AC57" i="6"/>
  <c r="Z57" i="6"/>
  <c r="AC46" i="6"/>
  <c r="W46" i="6"/>
  <c r="Q46" i="6"/>
  <c r="Z46" i="6"/>
  <c r="T46" i="6"/>
  <c r="N46" i="6"/>
  <c r="Z19" i="6"/>
  <c r="T19" i="6"/>
  <c r="N19" i="6"/>
  <c r="AC19" i="6"/>
  <c r="W19" i="6"/>
  <c r="Q19" i="6"/>
  <c r="Z50" i="6"/>
  <c r="T50" i="6"/>
  <c r="N50" i="6"/>
  <c r="AC50" i="6"/>
  <c r="W50" i="6"/>
  <c r="Q50" i="6"/>
  <c r="Q16" i="6"/>
  <c r="AC16" i="6"/>
  <c r="W16" i="6"/>
  <c r="Z16" i="6"/>
  <c r="T16" i="6"/>
  <c r="N16" i="6"/>
  <c r="T21" i="6"/>
  <c r="Z21" i="6"/>
  <c r="N21" i="6"/>
  <c r="AC21" i="6"/>
  <c r="W21" i="6"/>
  <c r="Q21" i="6"/>
  <c r="Z34" i="6"/>
  <c r="T34" i="6"/>
  <c r="N34" i="6"/>
  <c r="AC34" i="6"/>
  <c r="W34" i="6"/>
  <c r="Q34" i="6"/>
  <c r="T12" i="6"/>
  <c r="N12" i="6"/>
  <c r="Z12" i="6"/>
  <c r="AC12" i="6"/>
  <c r="W12" i="6"/>
  <c r="Q12" i="6"/>
  <c r="N33" i="6"/>
  <c r="AC33" i="6"/>
  <c r="T33" i="6"/>
  <c r="W33" i="6"/>
  <c r="Q33" i="6"/>
  <c r="Z33" i="6"/>
  <c r="Z26" i="6"/>
  <c r="T26" i="6"/>
  <c r="N26" i="6"/>
  <c r="AC26" i="6"/>
  <c r="W26" i="6"/>
  <c r="Q26" i="6"/>
  <c r="T44" i="6"/>
  <c r="N44" i="6"/>
  <c r="Z44" i="6"/>
  <c r="AC44" i="6"/>
  <c r="W44" i="6"/>
  <c r="Q44" i="6"/>
  <c r="AC4" i="6"/>
  <c r="W4" i="6"/>
  <c r="Q4" i="6"/>
  <c r="Z4" i="6"/>
  <c r="T4" i="6"/>
  <c r="N4" i="6"/>
  <c r="Q49" i="6"/>
  <c r="W49" i="6"/>
  <c r="T49" i="6"/>
  <c r="Z49" i="6"/>
  <c r="N49" i="6"/>
  <c r="AC49" i="6"/>
  <c r="Z45" i="6"/>
  <c r="T45" i="6"/>
  <c r="Q45" i="6"/>
  <c r="AC45" i="6"/>
  <c r="W45" i="6"/>
  <c r="N45" i="6"/>
  <c r="AC14" i="6"/>
  <c r="W14" i="6"/>
  <c r="Q14" i="6"/>
  <c r="Z14" i="6"/>
  <c r="T14" i="6"/>
  <c r="N14" i="6"/>
  <c r="W8" i="6"/>
  <c r="Q8" i="6"/>
  <c r="AC8" i="6"/>
  <c r="Z8" i="6"/>
  <c r="T8" i="6"/>
  <c r="N8" i="6"/>
  <c r="Q56" i="6"/>
  <c r="AC56" i="6"/>
  <c r="W56" i="6"/>
  <c r="Z56" i="6"/>
  <c r="T56" i="6"/>
  <c r="N56" i="6"/>
  <c r="T28" i="6"/>
  <c r="N28" i="6"/>
  <c r="Z28" i="6"/>
  <c r="AC28" i="6"/>
  <c r="W28" i="6"/>
  <c r="Q28" i="6"/>
  <c r="Z18" i="6"/>
  <c r="T18" i="6"/>
  <c r="N18" i="6"/>
  <c r="AC18" i="6"/>
  <c r="W18" i="6"/>
  <c r="Q18" i="6"/>
  <c r="W61" i="6"/>
  <c r="Q61" i="6"/>
  <c r="Z61" i="6"/>
  <c r="T61" i="6"/>
  <c r="AC61" i="6"/>
  <c r="N61" i="6"/>
  <c r="AC23" i="6"/>
  <c r="W23" i="6"/>
  <c r="Q23" i="6"/>
  <c r="Z23" i="6"/>
  <c r="T23" i="6"/>
  <c r="N23" i="6"/>
  <c r="AC39" i="6"/>
  <c r="W39" i="6"/>
  <c r="Q39" i="6"/>
  <c r="Z39" i="6"/>
  <c r="T39" i="6"/>
  <c r="N39" i="6"/>
  <c r="Z10" i="6"/>
  <c r="T10" i="6"/>
  <c r="N10" i="6"/>
  <c r="AC10" i="6"/>
  <c r="W10" i="6"/>
  <c r="Q10" i="6"/>
  <c r="Z36" i="6"/>
  <c r="T36" i="6"/>
  <c r="N36" i="6"/>
  <c r="AC36" i="6"/>
  <c r="W36" i="6"/>
  <c r="Q36" i="6"/>
  <c r="T13" i="6"/>
  <c r="N13" i="6"/>
  <c r="Z13" i="6"/>
  <c r="W13" i="6"/>
  <c r="Q13" i="6"/>
  <c r="AC13" i="6"/>
  <c r="AC31" i="6"/>
  <c r="W31" i="6"/>
  <c r="Q31" i="6"/>
  <c r="Z31" i="6"/>
  <c r="T31" i="6"/>
  <c r="N31" i="6"/>
  <c r="AC32" i="6"/>
  <c r="W32" i="6"/>
  <c r="Q32" i="6"/>
  <c r="Z32" i="6"/>
  <c r="T32" i="6"/>
  <c r="N32" i="6"/>
  <c r="Z42" i="6"/>
  <c r="T42" i="6"/>
  <c r="N42" i="6"/>
  <c r="AC42" i="6"/>
  <c r="W42" i="6"/>
  <c r="Q42" i="6"/>
  <c r="Z58" i="6"/>
  <c r="T58" i="6"/>
  <c r="N58" i="6"/>
  <c r="AC58" i="6"/>
  <c r="W58" i="6"/>
  <c r="Q58" i="6"/>
  <c r="AC62" i="6"/>
  <c r="W62" i="6"/>
  <c r="Q62" i="6"/>
  <c r="Z62" i="6"/>
  <c r="T62" i="6"/>
  <c r="N62" i="6"/>
  <c r="AC47" i="6"/>
  <c r="W47" i="6"/>
  <c r="Q47" i="6"/>
  <c r="Z47" i="6"/>
  <c r="T47" i="6"/>
  <c r="N47" i="6"/>
  <c r="T60" i="6"/>
  <c r="N60" i="6"/>
  <c r="Z60" i="6"/>
  <c r="AC60" i="6"/>
  <c r="W60" i="6"/>
  <c r="Q60" i="6"/>
  <c r="Q37" i="6"/>
  <c r="Z37" i="6"/>
  <c r="T37" i="6"/>
  <c r="AC37" i="6"/>
  <c r="W37" i="6"/>
  <c r="N37" i="6"/>
  <c r="Z53" i="6"/>
  <c r="T53" i="6"/>
  <c r="Q53" i="6"/>
  <c r="AC53" i="6"/>
  <c r="W53" i="6"/>
  <c r="N53" i="6"/>
  <c r="AC22" i="6"/>
  <c r="W22" i="6"/>
  <c r="Q22" i="6"/>
  <c r="Z22" i="6"/>
  <c r="T22" i="6"/>
  <c r="N22" i="6"/>
  <c r="Z11" i="6"/>
  <c r="T11" i="6"/>
  <c r="N11" i="6"/>
  <c r="AC11" i="6"/>
  <c r="W11" i="6"/>
  <c r="Q11" i="6"/>
  <c r="Q29" i="6"/>
  <c r="Z29" i="6"/>
  <c r="T29" i="6"/>
  <c r="AC29" i="6"/>
  <c r="W29" i="6"/>
  <c r="N29" i="6"/>
  <c r="Z59" i="6"/>
  <c r="T59" i="6"/>
  <c r="N59" i="6"/>
  <c r="AC59" i="6"/>
  <c r="W59" i="6"/>
  <c r="Q59" i="6"/>
  <c r="AC5" i="6"/>
  <c r="Z5" i="6"/>
  <c r="N5" i="6"/>
  <c r="Q5" i="6"/>
  <c r="W5" i="6"/>
  <c r="T5" i="6"/>
  <c r="Z43" i="6"/>
  <c r="T43" i="6"/>
  <c r="N43" i="6"/>
  <c r="AC43" i="6"/>
  <c r="W43" i="6"/>
  <c r="Q43" i="6"/>
  <c r="W41" i="6"/>
  <c r="T41" i="6"/>
  <c r="Q41" i="6"/>
  <c r="N41" i="6"/>
  <c r="AC41" i="6"/>
  <c r="Z41" i="6"/>
  <c r="Z27" i="6"/>
  <c r="T27" i="6"/>
  <c r="N27" i="6"/>
  <c r="AC27" i="6"/>
  <c r="W27" i="6"/>
  <c r="Q27" i="6"/>
  <c r="AC25" i="6"/>
  <c r="Q25" i="6"/>
  <c r="T25" i="6"/>
  <c r="W25" i="6"/>
  <c r="Z25" i="6"/>
  <c r="N25" i="6"/>
  <c r="Q40" i="6"/>
  <c r="AC40" i="6"/>
  <c r="W40" i="6"/>
  <c r="Z40" i="6"/>
  <c r="T40" i="6"/>
  <c r="N40" i="6"/>
  <c r="K15" i="6"/>
  <c r="K11" i="6"/>
  <c r="K16" i="6"/>
  <c r="K24" i="6"/>
  <c r="K18" i="6"/>
  <c r="K19" i="6"/>
  <c r="K13" i="6"/>
  <c r="K10" i="6"/>
  <c r="K14" i="6"/>
  <c r="K9" i="6"/>
  <c r="K17" i="6"/>
  <c r="K47" i="6"/>
  <c r="K12" i="6"/>
  <c r="K46" i="6"/>
  <c r="K20" i="6"/>
  <c r="K21" i="6"/>
  <c r="K33" i="6"/>
  <c r="K28" i="6"/>
  <c r="K26" i="6"/>
  <c r="K23" i="6"/>
  <c r="K27" i="6"/>
  <c r="K35" i="6"/>
  <c r="K63" i="6"/>
  <c r="K42" i="6"/>
  <c r="K54" i="6"/>
  <c r="K51" i="6"/>
  <c r="K41" i="6"/>
  <c r="K62" i="6"/>
  <c r="K49" i="6"/>
  <c r="K53" i="6"/>
  <c r="K36" i="6"/>
  <c r="K50" i="6"/>
  <c r="K61" i="6"/>
  <c r="K29" i="6"/>
  <c r="K44" i="6"/>
  <c r="K58" i="6"/>
  <c r="K32" i="6"/>
  <c r="K31" i="6"/>
  <c r="K43" i="6"/>
  <c r="K22" i="6"/>
  <c r="K57" i="6"/>
  <c r="K37" i="6"/>
  <c r="K52" i="6"/>
  <c r="K40" i="6"/>
  <c r="K39" i="6"/>
  <c r="K59" i="6"/>
  <c r="K30" i="6"/>
  <c r="K45" i="6"/>
  <c r="K38" i="6"/>
  <c r="K60" i="6"/>
  <c r="K48" i="6"/>
  <c r="K25" i="6"/>
  <c r="K56" i="6"/>
  <c r="K55" i="6"/>
  <c r="K34" i="6"/>
  <c r="K9" i="5"/>
  <c r="K16" i="5"/>
  <c r="K39" i="5"/>
  <c r="K37" i="5"/>
  <c r="K44" i="5"/>
  <c r="K43" i="5"/>
  <c r="K26" i="5"/>
  <c r="K33" i="5"/>
  <c r="K48" i="5"/>
  <c r="K55" i="5"/>
  <c r="K46" i="5"/>
  <c r="K61" i="5"/>
  <c r="K36" i="5"/>
  <c r="K35" i="5"/>
  <c r="K18" i="5"/>
  <c r="K25" i="5"/>
  <c r="K40" i="5"/>
  <c r="K47" i="5"/>
  <c r="K38" i="5"/>
  <c r="K53" i="5"/>
  <c r="K27" i="5"/>
  <c r="K17" i="5"/>
  <c r="K45" i="5"/>
  <c r="K66" i="5"/>
  <c r="K31" i="5"/>
  <c r="K54" i="5"/>
  <c r="K11" i="5"/>
  <c r="K10" i="5"/>
  <c r="K65" i="5"/>
  <c r="K58" i="5"/>
  <c r="K15" i="5"/>
  <c r="K23" i="5"/>
  <c r="K13" i="5"/>
  <c r="K29" i="5"/>
  <c r="K32" i="5"/>
  <c r="K20" i="5"/>
  <c r="K24" i="5"/>
  <c r="K50" i="5"/>
  <c r="K57" i="5"/>
  <c r="K6" i="5"/>
  <c r="K14" i="5"/>
  <c r="K8" i="5"/>
  <c r="K21" i="5"/>
  <c r="K28" i="5"/>
  <c r="K30" i="5"/>
  <c r="K22" i="5"/>
  <c r="K60" i="5"/>
  <c r="K59" i="5"/>
  <c r="K42" i="5"/>
  <c r="K49" i="5"/>
  <c r="K64" i="5"/>
  <c r="K5" i="5"/>
  <c r="K12" i="5"/>
  <c r="K19" i="5"/>
  <c r="K52" i="5"/>
  <c r="K51" i="5"/>
  <c r="K34" i="5"/>
  <c r="K41" i="5"/>
  <c r="K56" i="5"/>
  <c r="K63" i="5"/>
  <c r="K62" i="5"/>
  <c r="K65" i="6" l="1"/>
  <c r="K66" i="6"/>
  <c r="K69" i="5"/>
  <c r="K64" i="6"/>
  <c r="T66" i="6"/>
  <c r="AC66" i="6"/>
  <c r="N64" i="6"/>
  <c r="AC64" i="6"/>
  <c r="Z66" i="6"/>
  <c r="W66" i="6"/>
  <c r="W64" i="6"/>
  <c r="Q66" i="6"/>
  <c r="Q64" i="6"/>
  <c r="W65" i="6"/>
  <c r="Z65" i="6"/>
  <c r="T64" i="6"/>
  <c r="Q65" i="6"/>
  <c r="AC65" i="6"/>
  <c r="T65" i="6"/>
  <c r="K69" i="6" l="1"/>
  <c r="L71" i="6" s="1"/>
  <c r="O71" i="6"/>
  <c r="L71" i="5"/>
  <c r="M71" i="5"/>
  <c r="L74" i="5" l="1"/>
  <c r="L74" i="6"/>
</calcChain>
</file>

<file path=xl/sharedStrings.xml><?xml version="1.0" encoding="utf-8"?>
<sst xmlns="http://schemas.openxmlformats.org/spreadsheetml/2006/main" count="262" uniqueCount="193">
  <si>
    <t>Final Drive</t>
  </si>
  <si>
    <t>Total</t>
  </si>
  <si>
    <t>in</t>
  </si>
  <si>
    <t>Redline</t>
  </si>
  <si>
    <t>Rpm</t>
  </si>
  <si>
    <t>Gear Ratios</t>
  </si>
  <si>
    <t>Gear</t>
  </si>
  <si>
    <t>Reverse</t>
  </si>
  <si>
    <t>hp</t>
  </si>
  <si>
    <t>kW</t>
  </si>
  <si>
    <t>Mass</t>
  </si>
  <si>
    <t>lbs</t>
  </si>
  <si>
    <t>kg</t>
  </si>
  <si>
    <t>2809-2952</t>
  </si>
  <si>
    <t>m/s^2</t>
  </si>
  <si>
    <t>mph/s</t>
  </si>
  <si>
    <t>A:</t>
  </si>
  <si>
    <t>Theoretical Max Acceleration:</t>
  </si>
  <si>
    <t>s</t>
  </si>
  <si>
    <t>Axle Power Fraction:</t>
  </si>
  <si>
    <t>dim</t>
  </si>
  <si>
    <t>CrankShaft Power</t>
  </si>
  <si>
    <t>Axle Power</t>
  </si>
  <si>
    <t>Power-to-weight:</t>
  </si>
  <si>
    <t>hp/lb</t>
  </si>
  <si>
    <t>Weight/lb</t>
  </si>
  <si>
    <t>lb/hp</t>
  </si>
  <si>
    <t>RPM</t>
  </si>
  <si>
    <t>Rev/s</t>
  </si>
  <si>
    <t>rad/s</t>
  </si>
  <si>
    <t>Reference Torque</t>
  </si>
  <si>
    <t>Reference Power</t>
  </si>
  <si>
    <t>Power (HP)</t>
  </si>
  <si>
    <t>Power (ft-lbs/s)</t>
  </si>
  <si>
    <t>Torque ft-lbs</t>
  </si>
  <si>
    <t>Value</t>
  </si>
  <si>
    <t>Power (kW)</t>
  </si>
  <si>
    <t>Theoretical Accel (m/s^2)</t>
  </si>
  <si>
    <t>Theoret. Accel (mph/s)</t>
  </si>
  <si>
    <t>1st Gear</t>
  </si>
  <si>
    <t>2nd</t>
  </si>
  <si>
    <t>3rd</t>
  </si>
  <si>
    <t>top speed MPH</t>
  </si>
  <si>
    <t>4th</t>
  </si>
  <si>
    <t>5th</t>
  </si>
  <si>
    <t>6th</t>
  </si>
  <si>
    <t>Average:</t>
  </si>
  <si>
    <t>Average Accel mph/s</t>
  </si>
  <si>
    <t>Time Elapsed:</t>
  </si>
  <si>
    <t>Shift Time:</t>
  </si>
  <si>
    <t>Total 0-60 time:</t>
  </si>
  <si>
    <t>seconds</t>
  </si>
  <si>
    <t>This value does not account for aero drag</t>
  </si>
  <si>
    <t>original est: 26.14</t>
  </si>
  <si>
    <t>Tire Effective Diam</t>
  </si>
  <si>
    <t>theoretical Time to 60:</t>
  </si>
  <si>
    <t>Drag Force</t>
  </si>
  <si>
    <t>Cd</t>
  </si>
  <si>
    <t>Drive force</t>
  </si>
  <si>
    <t>Engine</t>
  </si>
  <si>
    <t>Trans</t>
  </si>
  <si>
    <t>Radiator</t>
  </si>
  <si>
    <t>Intercooler</t>
  </si>
  <si>
    <t>Turbo, Piping</t>
  </si>
  <si>
    <t>Powertrain</t>
  </si>
  <si>
    <t>Driveline</t>
  </si>
  <si>
    <t>Chassis</t>
  </si>
  <si>
    <t>Suspension</t>
  </si>
  <si>
    <t>Driveshaft</t>
  </si>
  <si>
    <t>Drive axles</t>
  </si>
  <si>
    <t>Upper Control Arms (fwd)</t>
  </si>
  <si>
    <t>Upper Control Arms (rear)</t>
  </si>
  <si>
    <t>Lower Control Arms (fwd)</t>
  </si>
  <si>
    <t>Lower Control Arms (rear)</t>
  </si>
  <si>
    <t>Uprights (fwd)</t>
  </si>
  <si>
    <t>Uprights (rear)</t>
  </si>
  <si>
    <t>Rack and pinion</t>
  </si>
  <si>
    <t>Other systems</t>
  </si>
  <si>
    <t>Monocoque</t>
  </si>
  <si>
    <t>Fwd Subframe</t>
  </si>
  <si>
    <t>Rear Subframe</t>
  </si>
  <si>
    <t>PCM/ECU</t>
  </si>
  <si>
    <t>Left Door</t>
  </si>
  <si>
    <t>Right Door</t>
  </si>
  <si>
    <t>Brake master cylinder, vacuum booster</t>
  </si>
  <si>
    <t>Interior</t>
  </si>
  <si>
    <t>Dash</t>
  </si>
  <si>
    <t>LH Seat</t>
  </si>
  <si>
    <t>RH Seat</t>
  </si>
  <si>
    <t>Body</t>
  </si>
  <si>
    <t>Windshield</t>
  </si>
  <si>
    <t>Rear window(s)</t>
  </si>
  <si>
    <t>Hood</t>
  </si>
  <si>
    <t>LH Fender</t>
  </si>
  <si>
    <t>RH Fender</t>
  </si>
  <si>
    <t>LH Rear Fender</t>
  </si>
  <si>
    <t>RH Rear Fender</t>
  </si>
  <si>
    <t>Rear Cosmetic Bumper</t>
  </si>
  <si>
    <t>Front Cosmetic Bumper</t>
  </si>
  <si>
    <t>Fwd Brake calipers, Rotors</t>
  </si>
  <si>
    <t>Rear Brake Calipers, Rotors</t>
  </si>
  <si>
    <t>Fwd Bearing Arms</t>
  </si>
  <si>
    <t>Rear Bearing Arms</t>
  </si>
  <si>
    <t>Fuel filter</t>
  </si>
  <si>
    <t>Battery</t>
  </si>
  <si>
    <t>est cost</t>
  </si>
  <si>
    <t>notes</t>
  </si>
  <si>
    <t>Veh STA</t>
  </si>
  <si>
    <t>Differential and housing</t>
  </si>
  <si>
    <t>Qty</t>
  </si>
  <si>
    <t>Power steering</t>
  </si>
  <si>
    <t>Total Weight:</t>
  </si>
  <si>
    <t>Steering turnbuckles</t>
  </si>
  <si>
    <t>Fuel tank (empty)</t>
  </si>
  <si>
    <t>Fuel (full)</t>
  </si>
  <si>
    <t>CG Moment (in-lbs)</t>
  </si>
  <si>
    <t>Payload:</t>
  </si>
  <si>
    <t>Driver</t>
  </si>
  <si>
    <t>CG % of wheelbase:</t>
  </si>
  <si>
    <t>exhaust system?</t>
  </si>
  <si>
    <t>per yard</t>
  </si>
  <si>
    <t>3K Carbon Fabric</t>
  </si>
  <si>
    <t>1" 4130 1" .065" Wall</t>
  </si>
  <si>
    <t>per foot? (one at a time)</t>
  </si>
  <si>
    <t>Michelin Pilot Super Sport 275/35ZR19</t>
  </si>
  <si>
    <t>per wheel</t>
  </si>
  <si>
    <t>per tire</t>
  </si>
  <si>
    <t>Enkei PX-10 Gloss Black (offset +45)</t>
  </si>
  <si>
    <t>used</t>
  </si>
  <si>
    <t>Total:</t>
  </si>
  <si>
    <t>est CG STA:</t>
  </si>
  <si>
    <t>AR5 Trans</t>
  </si>
  <si>
    <t>Atlas Engine:</t>
  </si>
  <si>
    <t>Est Vehicle Mass</t>
  </si>
  <si>
    <t>CrankShaft Torque</t>
  </si>
  <si>
    <t>ft-lbs</t>
  </si>
  <si>
    <t>Transmission info:</t>
  </si>
  <si>
    <t>Brake Calipers</t>
  </si>
  <si>
    <t>Wilwood Pedal Set</t>
  </si>
  <si>
    <t>"something in the 3.08 to 3.55 range is probably ideal for most 25-27 inch tire cars."</t>
  </si>
  <si>
    <t>https://www.fitmentindustries.com/buy-wheel-offset/9001-1910-35-514-DGR/9six9-six-1-19x10-35?vehicle_type=Car&amp;year=2019&amp;make=Ford&amp;model=Mustang&amp;trim=GT&amp;suspension=Stock</t>
  </si>
  <si>
    <t>9SiX9 Six-1 19 x 10 + 35mm</t>
  </si>
  <si>
    <t>https://www.fitmentindustries.com/buy-wheel-offset/F10319105114GB38/f1r-f103-19x10-35?vehicle_type=Car&amp;year=2019&amp;make=Ford&amp;model=Mustang&amp;trim=GT&amp;suspension=Stock</t>
  </si>
  <si>
    <t>F1R F103 19x10 +35 F10319105114GB38</t>
  </si>
  <si>
    <t>https://www.fitmentindustries.com/buy-wheel-offset/536-980-6545BK/enkei-px-10-19x8-45?vehicle_type=Car&amp;year=2019&amp;make=Ford&amp;model=Mustang&amp;trim=GT&amp;suspension=Stock</t>
  </si>
  <si>
    <t>Size</t>
  </si>
  <si>
    <t>19x10</t>
  </si>
  <si>
    <t>19x8</t>
  </si>
  <si>
    <t>Wheels:</t>
  </si>
  <si>
    <t>Tires</t>
  </si>
  <si>
    <t>Mustang CV Joints</t>
  </si>
  <si>
    <t>Mustang Differential and housing</t>
  </si>
  <si>
    <t>CV Joint:</t>
  </si>
  <si>
    <t>info from:</t>
  </si>
  <si>
    <t>https://partshawk.com/ford-mustang-rear-right-cv-axle-shaft-trakmotive-fd-8281.html</t>
  </si>
  <si>
    <t>Custom Driveshaft</t>
  </si>
  <si>
    <t>Continental Extreme Contact DWS06 (All Season) 275/35ZR19</t>
  </si>
  <si>
    <t>Continental Extreme Contact Sport (summer) 275/35ZR19</t>
  </si>
  <si>
    <t>Continental Extreme Contact Sport (summer) 235/35zR19</t>
  </si>
  <si>
    <t>Continental Extreme Contact Sport (summer) 235/40ZR19</t>
  </si>
  <si>
    <t>Rear Wheels</t>
  </si>
  <si>
    <t>Fwd Wheels</t>
  </si>
  <si>
    <t>Rear Tires</t>
  </si>
  <si>
    <t>Fwd Tires</t>
  </si>
  <si>
    <t>Unit Cost</t>
  </si>
  <si>
    <t>Steering Wheel</t>
  </si>
  <si>
    <t>Assumes .065" wall Chromoly</t>
  </si>
  <si>
    <t>Assumes .065" wall Chromoly. Needs Updated</t>
  </si>
  <si>
    <t>Assumes Custom/Mod</t>
  </si>
  <si>
    <t>Assumes included with Engine</t>
  </si>
  <si>
    <t>Not Necessary for Phase I, but will be for regular use. Est ~ 200. ~100 for muffler, 100 for tubing and unforseen complications</t>
  </si>
  <si>
    <t>Wild guess. Need to refine</t>
  </si>
  <si>
    <t>Not necessary for Phase I</t>
  </si>
  <si>
    <t>Front Bumper</t>
  </si>
  <si>
    <t>Rear Bumper</t>
  </si>
  <si>
    <t>Hopefully can be included with the rack and pinion</t>
  </si>
  <si>
    <t>Looked up "Prius power steering column"</t>
  </si>
  <si>
    <t>Hopefully DIY the shit out of this</t>
  </si>
  <si>
    <t>Hardly necessary for Phase I, though it'd be good to integrate into the monocoque</t>
  </si>
  <si>
    <t>Pedal Set</t>
  </si>
  <si>
    <t>Assumes I'll be cheap for phase I</t>
  </si>
  <si>
    <t>Not Necessary for Phase I:</t>
  </si>
  <si>
    <t>on Ebay, from Mazda CX-3, which had dope brake sensitivity</t>
  </si>
  <si>
    <t>Hopefully integrated into monocoque</t>
  </si>
  <si>
    <t>per ebay (from Envoy)</t>
  </si>
  <si>
    <t>Fuel sender pump</t>
  </si>
  <si>
    <t>Fuel High-Pressure Pump</t>
  </si>
  <si>
    <t>Wild guess. Need to refine. Hopefully it'll come with the engine</t>
  </si>
  <si>
    <t>sq in</t>
  </si>
  <si>
    <t>sq ft</t>
  </si>
  <si>
    <t>plies</t>
  </si>
  <si>
    <t>Dollars</t>
  </si>
  <si>
    <t>Sq ft of carbon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</si>
</sst>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2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0" fillId="2" borderId="2" xfId="0" applyFill="1" applyBorder="1"/>
    <xf numFmtId="164" fontId="0" fillId="4" borderId="1" xfId="0" applyNumberFormat="1" applyFill="1" applyBorder="1"/>
    <xf numFmtId="164" fontId="0" fillId="0" borderId="3" xfId="0" applyNumberFormat="1" applyBorder="1"/>
    <xf numFmtId="0" fontId="0" fillId="4" borderId="0" xfId="0" applyFill="1"/>
    <xf numFmtId="0" fontId="0" fillId="4" borderId="1" xfId="0" applyFill="1" applyBorder="1"/>
    <xf numFmtId="1" fontId="0" fillId="4" borderId="1" xfId="0" applyNumberFormat="1" applyFill="1" applyBorder="1"/>
    <xf numFmtId="164" fontId="0" fillId="4" borderId="0" xfId="0" applyNumberFormat="1" applyFill="1"/>
    <xf numFmtId="0" fontId="0" fillId="5" borderId="1" xfId="0" applyFill="1" applyBorder="1"/>
    <xf numFmtId="164" fontId="0" fillId="5" borderId="1" xfId="0" applyNumberFormat="1" applyFill="1" applyBorder="1"/>
    <xf numFmtId="2" fontId="0" fillId="0" borderId="1" xfId="0" applyNumberFormat="1" applyBorder="1"/>
    <xf numFmtId="0" fontId="0" fillId="6" borderId="1" xfId="0" applyFill="1" applyBorder="1"/>
    <xf numFmtId="164" fontId="0" fillId="6" borderId="1" xfId="0" applyNumberFormat="1" applyFill="1" applyBorder="1"/>
    <xf numFmtId="1" fontId="0" fillId="6" borderId="1" xfId="0" applyNumberFormat="1" applyFill="1" applyBorder="1"/>
    <xf numFmtId="164" fontId="0" fillId="6" borderId="0" xfId="0" applyNumberFormat="1" applyFill="1"/>
    <xf numFmtId="0" fontId="0" fillId="6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Gear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'AR5 Gear Ratios'!$A$2:$A$7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'AR5 Gear Ratios'!$B$2:$B$7</c:f>
              <c:numCache>
                <c:formatCode>General</c:formatCode>
                <c:ptCount val="6"/>
                <c:pt idx="0">
                  <c:v>3.75</c:v>
                </c:pt>
                <c:pt idx="1">
                  <c:v>2.2599999999999998</c:v>
                </c:pt>
                <c:pt idx="2">
                  <c:v>1.37</c:v>
                </c:pt>
                <c:pt idx="3">
                  <c:v>1</c:v>
                </c:pt>
                <c:pt idx="4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5B-433D-9069-2DEB0A549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235168"/>
        <c:axId val="1876134896"/>
      </c:scatterChart>
      <c:valAx>
        <c:axId val="175323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134896"/>
        <c:crosses val="autoZero"/>
        <c:crossBetween val="midCat"/>
      </c:valAx>
      <c:valAx>
        <c:axId val="187613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 and</a:t>
            </a:r>
            <a:r>
              <a:rPr lang="en-US" baseline="0"/>
              <a:t> Torque vs RPM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'Torque Curve Estimation'!$B$4:$B$66</c:f>
              <c:numCache>
                <c:formatCode>General</c:formatCode>
                <c:ptCount val="6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</c:numCache>
            </c:numRef>
          </c:cat>
          <c:val>
            <c:numRef>
              <c:f>'Torque Curve Estimation'!$E$2:$E$66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 formatCode="0.0">
                  <c:v>4.583333333333333</c:v>
                </c:pt>
                <c:pt idx="3" formatCode="0.0">
                  <c:v>9.1666666666666661</c:v>
                </c:pt>
                <c:pt idx="4" formatCode="0.0">
                  <c:v>13.75</c:v>
                </c:pt>
                <c:pt idx="5" formatCode="0.0">
                  <c:v>18.333333333333332</c:v>
                </c:pt>
                <c:pt idx="6" formatCode="0.0">
                  <c:v>22.916666666666664</c:v>
                </c:pt>
                <c:pt idx="7" formatCode="0.0">
                  <c:v>27.5</c:v>
                </c:pt>
                <c:pt idx="8" formatCode="0.0">
                  <c:v>32.083333333333336</c:v>
                </c:pt>
                <c:pt idx="9" formatCode="0.0">
                  <c:v>36.666666666666664</c:v>
                </c:pt>
                <c:pt idx="10" formatCode="0.0">
                  <c:v>41.25</c:v>
                </c:pt>
                <c:pt idx="11" formatCode="0.0">
                  <c:v>45.833333333333329</c:v>
                </c:pt>
                <c:pt idx="12" formatCode="0.0">
                  <c:v>50.416666666666664</c:v>
                </c:pt>
                <c:pt idx="13" formatCode="0.0">
                  <c:v>55</c:v>
                </c:pt>
                <c:pt idx="14" formatCode="0.0">
                  <c:v>59.583333333333336</c:v>
                </c:pt>
                <c:pt idx="15" formatCode="0.0">
                  <c:v>64.166666666666671</c:v>
                </c:pt>
                <c:pt idx="16" formatCode="0.0">
                  <c:v>68.75</c:v>
                </c:pt>
                <c:pt idx="17" formatCode="0.0">
                  <c:v>73.333333333333329</c:v>
                </c:pt>
                <c:pt idx="18" formatCode="0.0">
                  <c:v>77.916666666666671</c:v>
                </c:pt>
                <c:pt idx="19" formatCode="0.0">
                  <c:v>82.5</c:v>
                </c:pt>
                <c:pt idx="20" formatCode="0.0">
                  <c:v>87.083333333333329</c:v>
                </c:pt>
                <c:pt idx="21" formatCode="0.0">
                  <c:v>91.666666666666657</c:v>
                </c:pt>
                <c:pt idx="22" formatCode="0.0">
                  <c:v>96.25</c:v>
                </c:pt>
                <c:pt idx="23" formatCode="0.0">
                  <c:v>100.83333333333333</c:v>
                </c:pt>
                <c:pt idx="24" formatCode="0.0">
                  <c:v>105.41666666666667</c:v>
                </c:pt>
                <c:pt idx="25" formatCode="0.0">
                  <c:v>110</c:v>
                </c:pt>
                <c:pt idx="26" formatCode="0.0">
                  <c:v>114.58333333333334</c:v>
                </c:pt>
                <c:pt idx="27" formatCode="0.0">
                  <c:v>119.16666666666667</c:v>
                </c:pt>
                <c:pt idx="28" formatCode="0.0">
                  <c:v>123.75</c:v>
                </c:pt>
                <c:pt idx="29" formatCode="0.0">
                  <c:v>128.33333333333334</c:v>
                </c:pt>
                <c:pt idx="30" formatCode="0.0">
                  <c:v>132.91666666666666</c:v>
                </c:pt>
                <c:pt idx="31" formatCode="0.0">
                  <c:v>137.5</c:v>
                </c:pt>
                <c:pt idx="32" formatCode="0.0">
                  <c:v>142.08333333333334</c:v>
                </c:pt>
                <c:pt idx="33" formatCode="0.0">
                  <c:v>146.66666666666666</c:v>
                </c:pt>
                <c:pt idx="34" formatCode="0.0">
                  <c:v>151.25</c:v>
                </c:pt>
                <c:pt idx="35" formatCode="0.0">
                  <c:v>155.83333333333334</c:v>
                </c:pt>
                <c:pt idx="36" formatCode="0.0">
                  <c:v>160.41666666666669</c:v>
                </c:pt>
                <c:pt idx="37" formatCode="0.0">
                  <c:v>165</c:v>
                </c:pt>
                <c:pt idx="38" formatCode="0.0">
                  <c:v>169.58333333333334</c:v>
                </c:pt>
                <c:pt idx="39" formatCode="0.0">
                  <c:v>174.16666666666666</c:v>
                </c:pt>
                <c:pt idx="40" formatCode="0.0">
                  <c:v>178.75</c:v>
                </c:pt>
                <c:pt idx="41" formatCode="0.0">
                  <c:v>183.33333333333331</c:v>
                </c:pt>
                <c:pt idx="42" formatCode="0.0">
                  <c:v>187.91666666666666</c:v>
                </c:pt>
                <c:pt idx="43" formatCode="0.0">
                  <c:v>192.5</c:v>
                </c:pt>
                <c:pt idx="44" formatCode="0.0">
                  <c:v>197.08333333333334</c:v>
                </c:pt>
                <c:pt idx="45" formatCode="0.0">
                  <c:v>201.66666666666666</c:v>
                </c:pt>
                <c:pt idx="46" formatCode="0.0">
                  <c:v>206.25</c:v>
                </c:pt>
                <c:pt idx="47" formatCode="0.0">
                  <c:v>210.83333333333334</c:v>
                </c:pt>
                <c:pt idx="48" formatCode="0.0">
                  <c:v>215.41666666666666</c:v>
                </c:pt>
                <c:pt idx="49" formatCode="0.0">
                  <c:v>220</c:v>
                </c:pt>
                <c:pt idx="50" formatCode="0.0">
                  <c:v>224.58333333333334</c:v>
                </c:pt>
                <c:pt idx="51" formatCode="0.0">
                  <c:v>229.16666666666669</c:v>
                </c:pt>
                <c:pt idx="52" formatCode="0.0">
                  <c:v>233.75</c:v>
                </c:pt>
                <c:pt idx="53" formatCode="0.0">
                  <c:v>238.33333333333334</c:v>
                </c:pt>
                <c:pt idx="54" formatCode="0.0">
                  <c:v>242.91666666666666</c:v>
                </c:pt>
                <c:pt idx="55" formatCode="0.0">
                  <c:v>247.5</c:v>
                </c:pt>
                <c:pt idx="56" formatCode="0.0">
                  <c:v>252.08333333333331</c:v>
                </c:pt>
                <c:pt idx="57" formatCode="0.0">
                  <c:v>256.66666666666669</c:v>
                </c:pt>
                <c:pt idx="58" formatCode="0.0">
                  <c:v>261.25</c:v>
                </c:pt>
                <c:pt idx="59" formatCode="0.0">
                  <c:v>265.83333333333331</c:v>
                </c:pt>
                <c:pt idx="60" formatCode="0.0">
                  <c:v>270.41666666666663</c:v>
                </c:pt>
                <c:pt idx="61" formatCode="0.0">
                  <c:v>275</c:v>
                </c:pt>
                <c:pt idx="62" formatCode="0.0">
                  <c:v>275</c:v>
                </c:pt>
                <c:pt idx="63" formatCode="0.0">
                  <c:v>275</c:v>
                </c:pt>
                <c:pt idx="64" formatCode="0.0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A7-42F0-9519-CE18B6EEA048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'Torque Curve Estimation'!$B$4:$B$66</c:f>
              <c:numCache>
                <c:formatCode>General</c:formatCode>
                <c:ptCount val="6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</c:numCache>
            </c:numRef>
          </c:cat>
          <c:val>
            <c:numRef>
              <c:f>'Torque Curve Estimation'!$H$2:$H$66</c:f>
              <c:numCache>
                <c:formatCode>General</c:formatCode>
                <c:ptCount val="65"/>
                <c:pt idx="0">
                  <c:v>0</c:v>
                </c:pt>
                <c:pt idx="2" formatCode="0.0">
                  <c:v>240.84394904458597</c:v>
                </c:pt>
                <c:pt idx="3" formatCode="0.0">
                  <c:v>240.84394904458597</c:v>
                </c:pt>
                <c:pt idx="4" formatCode="0.0">
                  <c:v>240.84394904458597</c:v>
                </c:pt>
                <c:pt idx="5" formatCode="0.0">
                  <c:v>240.84394904458597</c:v>
                </c:pt>
                <c:pt idx="6" formatCode="0.0">
                  <c:v>240.84394904458597</c:v>
                </c:pt>
                <c:pt idx="7" formatCode="0.0">
                  <c:v>240.84394904458597</c:v>
                </c:pt>
                <c:pt idx="8" formatCode="0.0">
                  <c:v>240.84394904458603</c:v>
                </c:pt>
                <c:pt idx="9" formatCode="0.0">
                  <c:v>240.84394904458597</c:v>
                </c:pt>
                <c:pt idx="10" formatCode="0.0">
                  <c:v>240.84394904458597</c:v>
                </c:pt>
                <c:pt idx="11" formatCode="0.0">
                  <c:v>240.84394904458597</c:v>
                </c:pt>
                <c:pt idx="12" formatCode="0.0">
                  <c:v>240.84394904458597</c:v>
                </c:pt>
                <c:pt idx="13" formatCode="0.0">
                  <c:v>240.84394904458597</c:v>
                </c:pt>
                <c:pt idx="14" formatCode="0.0">
                  <c:v>240.84394904458597</c:v>
                </c:pt>
                <c:pt idx="15" formatCode="0.0">
                  <c:v>240.84394904458603</c:v>
                </c:pt>
                <c:pt idx="16" formatCode="0.0">
                  <c:v>240.843949044586</c:v>
                </c:pt>
                <c:pt idx="17" formatCode="0.0">
                  <c:v>240.84394904458597</c:v>
                </c:pt>
                <c:pt idx="18" formatCode="0.0">
                  <c:v>240.843949044586</c:v>
                </c:pt>
                <c:pt idx="19" formatCode="0.0">
                  <c:v>240.84394904458597</c:v>
                </c:pt>
                <c:pt idx="20" formatCode="0.0">
                  <c:v>240.84394904458594</c:v>
                </c:pt>
                <c:pt idx="21" formatCode="0.0">
                  <c:v>240.84394904458597</c:v>
                </c:pt>
                <c:pt idx="22" formatCode="0.0">
                  <c:v>240.84394904458597</c:v>
                </c:pt>
                <c:pt idx="23" formatCode="0.0">
                  <c:v>240.84394904458597</c:v>
                </c:pt>
                <c:pt idx="24" formatCode="0.0">
                  <c:v>240.843949044586</c:v>
                </c:pt>
                <c:pt idx="25" formatCode="0.0">
                  <c:v>240.84394904458597</c:v>
                </c:pt>
                <c:pt idx="26" formatCode="0.0">
                  <c:v>240.84394904458597</c:v>
                </c:pt>
                <c:pt idx="27" formatCode="0.0">
                  <c:v>240.84394904458597</c:v>
                </c:pt>
                <c:pt idx="28" formatCode="0.0">
                  <c:v>240.84394904458597</c:v>
                </c:pt>
                <c:pt idx="29" formatCode="0.0">
                  <c:v>240.84394904458603</c:v>
                </c:pt>
                <c:pt idx="30" formatCode="0.0">
                  <c:v>240.84394904458594</c:v>
                </c:pt>
                <c:pt idx="31" formatCode="0.0">
                  <c:v>240.843949044586</c:v>
                </c:pt>
                <c:pt idx="32" formatCode="0.0">
                  <c:v>240.84394904458603</c:v>
                </c:pt>
                <c:pt idx="33" formatCode="0.0">
                  <c:v>240.84394904458597</c:v>
                </c:pt>
                <c:pt idx="34" formatCode="0.0">
                  <c:v>240.84394904458597</c:v>
                </c:pt>
                <c:pt idx="35" formatCode="0.0">
                  <c:v>240.843949044586</c:v>
                </c:pt>
                <c:pt idx="36" formatCode="0.0">
                  <c:v>240.84394904458597</c:v>
                </c:pt>
                <c:pt idx="37" formatCode="0.0">
                  <c:v>240.84394904458597</c:v>
                </c:pt>
                <c:pt idx="38" formatCode="0.0">
                  <c:v>240.84394904458603</c:v>
                </c:pt>
                <c:pt idx="39" formatCode="0.0">
                  <c:v>240.84394904458594</c:v>
                </c:pt>
                <c:pt idx="40" formatCode="0.0">
                  <c:v>240.843949044586</c:v>
                </c:pt>
                <c:pt idx="41" formatCode="0.0">
                  <c:v>240.84394904458597</c:v>
                </c:pt>
                <c:pt idx="42" formatCode="0.0">
                  <c:v>240.84394904458597</c:v>
                </c:pt>
                <c:pt idx="43" formatCode="0.0">
                  <c:v>240.84394904458597</c:v>
                </c:pt>
                <c:pt idx="44" formatCode="0.0">
                  <c:v>240.84394904458597</c:v>
                </c:pt>
                <c:pt idx="45" formatCode="0.0">
                  <c:v>240.84394904458597</c:v>
                </c:pt>
                <c:pt idx="46" formatCode="0.0">
                  <c:v>240.843949044586</c:v>
                </c:pt>
                <c:pt idx="47" formatCode="0.0">
                  <c:v>240.843949044586</c:v>
                </c:pt>
                <c:pt idx="48" formatCode="0.0">
                  <c:v>240.84394904458597</c:v>
                </c:pt>
                <c:pt idx="49" formatCode="0.0">
                  <c:v>240.84394904458597</c:v>
                </c:pt>
                <c:pt idx="50" formatCode="0.0">
                  <c:v>240.843949044586</c:v>
                </c:pt>
                <c:pt idx="51" formatCode="0.0">
                  <c:v>240.84394904458597</c:v>
                </c:pt>
                <c:pt idx="52" formatCode="0.0">
                  <c:v>240.84394904458597</c:v>
                </c:pt>
                <c:pt idx="53" formatCode="0.0">
                  <c:v>240.84394904458597</c:v>
                </c:pt>
                <c:pt idx="54" formatCode="0.0">
                  <c:v>240.84394904458597</c:v>
                </c:pt>
                <c:pt idx="55" formatCode="0.0">
                  <c:v>240.84394904458597</c:v>
                </c:pt>
                <c:pt idx="56" formatCode="0.0">
                  <c:v>240.84394904458591</c:v>
                </c:pt>
                <c:pt idx="57" formatCode="0.0">
                  <c:v>240.84394904458603</c:v>
                </c:pt>
                <c:pt idx="58" formatCode="0.0">
                  <c:v>240.84394904458597</c:v>
                </c:pt>
                <c:pt idx="59" formatCode="0.0">
                  <c:v>240.84394904458594</c:v>
                </c:pt>
                <c:pt idx="60" formatCode="0.0">
                  <c:v>240.843949044586</c:v>
                </c:pt>
                <c:pt idx="61" formatCode="0.0">
                  <c:v>240.843949044586</c:v>
                </c:pt>
                <c:pt idx="62" formatCode="0.0">
                  <c:v>236.89568758483867</c:v>
                </c:pt>
                <c:pt idx="63" formatCode="0.0">
                  <c:v>233.07478939798645</c:v>
                </c:pt>
                <c:pt idx="64" formatCode="0.0">
                  <c:v>229.37518956627238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A7-42F0-9519-CE18B6EEA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408688"/>
        <c:axId val="1025837104"/>
      </c:lineChart>
      <c:catAx>
        <c:axId val="91940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37104"/>
        <c:crosses val="autoZero"/>
        <c:auto val="1"/>
        <c:lblAlgn val="ctr"/>
        <c:lblOffset val="100"/>
        <c:noMultiLvlLbl val="0"/>
      </c:catAx>
      <c:valAx>
        <c:axId val="10258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0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 and</a:t>
            </a:r>
            <a:r>
              <a:rPr lang="en-US" baseline="0"/>
              <a:t> Torque vs RPM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'Torque Curve Estimation w drag'!$B$4:$B$66</c:f>
              <c:numCache>
                <c:formatCode>General</c:formatCode>
                <c:ptCount val="6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</c:numCache>
            </c:numRef>
          </c:cat>
          <c:val>
            <c:numRef>
              <c:f>'Torque Curve Estimation w drag'!$E$2:$E$66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 formatCode="0.0">
                  <c:v>4.583333333333333</c:v>
                </c:pt>
                <c:pt idx="3" formatCode="0.0">
                  <c:v>9.1666666666666661</c:v>
                </c:pt>
                <c:pt idx="4" formatCode="0.0">
                  <c:v>13.75</c:v>
                </c:pt>
                <c:pt idx="5" formatCode="0.0">
                  <c:v>18.333333333333332</c:v>
                </c:pt>
                <c:pt idx="6" formatCode="0.0">
                  <c:v>22.916666666666664</c:v>
                </c:pt>
                <c:pt idx="7" formatCode="0.0">
                  <c:v>27.5</c:v>
                </c:pt>
                <c:pt idx="8" formatCode="0.0">
                  <c:v>32.083333333333336</c:v>
                </c:pt>
                <c:pt idx="9" formatCode="0.0">
                  <c:v>36.666666666666664</c:v>
                </c:pt>
                <c:pt idx="10" formatCode="0.0">
                  <c:v>41.25</c:v>
                </c:pt>
                <c:pt idx="11" formatCode="0.0">
                  <c:v>45.833333333333329</c:v>
                </c:pt>
                <c:pt idx="12" formatCode="0.0">
                  <c:v>50.416666666666664</c:v>
                </c:pt>
                <c:pt idx="13" formatCode="0.0">
                  <c:v>55</c:v>
                </c:pt>
                <c:pt idx="14" formatCode="0.0">
                  <c:v>59.583333333333336</c:v>
                </c:pt>
                <c:pt idx="15" formatCode="0.0">
                  <c:v>64.166666666666671</c:v>
                </c:pt>
                <c:pt idx="16" formatCode="0.0">
                  <c:v>68.75</c:v>
                </c:pt>
                <c:pt idx="17" formatCode="0.0">
                  <c:v>73.333333333333329</c:v>
                </c:pt>
                <c:pt idx="18" formatCode="0.0">
                  <c:v>77.916666666666671</c:v>
                </c:pt>
                <c:pt idx="19" formatCode="0.0">
                  <c:v>82.5</c:v>
                </c:pt>
                <c:pt idx="20" formatCode="0.0">
                  <c:v>87.083333333333329</c:v>
                </c:pt>
                <c:pt idx="21" formatCode="0.0">
                  <c:v>91.666666666666657</c:v>
                </c:pt>
                <c:pt idx="22" formatCode="0.0">
                  <c:v>96.25</c:v>
                </c:pt>
                <c:pt idx="23" formatCode="0.0">
                  <c:v>100.83333333333333</c:v>
                </c:pt>
                <c:pt idx="24" formatCode="0.0">
                  <c:v>105.41666666666667</c:v>
                </c:pt>
                <c:pt idx="25" formatCode="0.0">
                  <c:v>110</c:v>
                </c:pt>
                <c:pt idx="26" formatCode="0.0">
                  <c:v>114.58333333333334</c:v>
                </c:pt>
                <c:pt idx="27" formatCode="0.0">
                  <c:v>119.16666666666667</c:v>
                </c:pt>
                <c:pt idx="28" formatCode="0.0">
                  <c:v>123.75</c:v>
                </c:pt>
                <c:pt idx="29" formatCode="0.0">
                  <c:v>128.33333333333334</c:v>
                </c:pt>
                <c:pt idx="30" formatCode="0.0">
                  <c:v>132.91666666666666</c:v>
                </c:pt>
                <c:pt idx="31" formatCode="0.0">
                  <c:v>137.5</c:v>
                </c:pt>
                <c:pt idx="32" formatCode="0.0">
                  <c:v>142.08333333333334</c:v>
                </c:pt>
                <c:pt idx="33" formatCode="0.0">
                  <c:v>146.66666666666666</c:v>
                </c:pt>
                <c:pt idx="34" formatCode="0.0">
                  <c:v>151.25</c:v>
                </c:pt>
                <c:pt idx="35" formatCode="0.0">
                  <c:v>155.83333333333334</c:v>
                </c:pt>
                <c:pt idx="36" formatCode="0.0">
                  <c:v>160.41666666666669</c:v>
                </c:pt>
                <c:pt idx="37" formatCode="0.0">
                  <c:v>165</c:v>
                </c:pt>
                <c:pt idx="38" formatCode="0.0">
                  <c:v>169.58333333333334</c:v>
                </c:pt>
                <c:pt idx="39" formatCode="0.0">
                  <c:v>174.16666666666666</c:v>
                </c:pt>
                <c:pt idx="40" formatCode="0.0">
                  <c:v>178.75</c:v>
                </c:pt>
                <c:pt idx="41" formatCode="0.0">
                  <c:v>183.33333333333331</c:v>
                </c:pt>
                <c:pt idx="42" formatCode="0.0">
                  <c:v>187.91666666666666</c:v>
                </c:pt>
                <c:pt idx="43" formatCode="0.0">
                  <c:v>192.5</c:v>
                </c:pt>
                <c:pt idx="44" formatCode="0.0">
                  <c:v>197.08333333333334</c:v>
                </c:pt>
                <c:pt idx="45" formatCode="0.0">
                  <c:v>201.66666666666666</c:v>
                </c:pt>
                <c:pt idx="46" formatCode="0.0">
                  <c:v>206.25</c:v>
                </c:pt>
                <c:pt idx="47" formatCode="0.0">
                  <c:v>210.83333333333334</c:v>
                </c:pt>
                <c:pt idx="48" formatCode="0.0">
                  <c:v>215.41666666666666</c:v>
                </c:pt>
                <c:pt idx="49" formatCode="0.0">
                  <c:v>220</c:v>
                </c:pt>
                <c:pt idx="50" formatCode="0.0">
                  <c:v>224.58333333333334</c:v>
                </c:pt>
                <c:pt idx="51" formatCode="0.0">
                  <c:v>229.16666666666669</c:v>
                </c:pt>
                <c:pt idx="52" formatCode="0.0">
                  <c:v>233.75</c:v>
                </c:pt>
                <c:pt idx="53" formatCode="0.0">
                  <c:v>238.33333333333334</c:v>
                </c:pt>
                <c:pt idx="54" formatCode="0.0">
                  <c:v>242.91666666666666</c:v>
                </c:pt>
                <c:pt idx="55" formatCode="0.0">
                  <c:v>247.5</c:v>
                </c:pt>
                <c:pt idx="56" formatCode="0.0">
                  <c:v>252.08333333333331</c:v>
                </c:pt>
                <c:pt idx="57" formatCode="0.0">
                  <c:v>256.66666666666669</c:v>
                </c:pt>
                <c:pt idx="58" formatCode="0.0">
                  <c:v>261.25</c:v>
                </c:pt>
                <c:pt idx="59" formatCode="0.0">
                  <c:v>265.83333333333331</c:v>
                </c:pt>
                <c:pt idx="60" formatCode="0.0">
                  <c:v>270.41666666666663</c:v>
                </c:pt>
                <c:pt idx="61" formatCode="0.0">
                  <c:v>275</c:v>
                </c:pt>
                <c:pt idx="62" formatCode="0.0">
                  <c:v>275</c:v>
                </c:pt>
                <c:pt idx="63" formatCode="0.0">
                  <c:v>275</c:v>
                </c:pt>
                <c:pt idx="64" formatCode="0.0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C-4D4B-BCAA-806CBC965139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'Torque Curve Estimation w drag'!$B$4:$B$66</c:f>
              <c:numCache>
                <c:formatCode>General</c:formatCode>
                <c:ptCount val="6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</c:numCache>
            </c:numRef>
          </c:cat>
          <c:val>
            <c:numRef>
              <c:f>'Torque Curve Estimation w drag'!$H$2:$H$66</c:f>
              <c:numCache>
                <c:formatCode>General</c:formatCode>
                <c:ptCount val="65"/>
                <c:pt idx="0">
                  <c:v>0</c:v>
                </c:pt>
                <c:pt idx="2" formatCode="0.0">
                  <c:v>240.84394904458597</c:v>
                </c:pt>
                <c:pt idx="3" formatCode="0.0">
                  <c:v>240.84394904458597</c:v>
                </c:pt>
                <c:pt idx="4" formatCode="0.0">
                  <c:v>240.84394904458597</c:v>
                </c:pt>
                <c:pt idx="5" formatCode="0.0">
                  <c:v>240.84394904458597</c:v>
                </c:pt>
                <c:pt idx="6" formatCode="0.0">
                  <c:v>240.84394904458597</c:v>
                </c:pt>
                <c:pt idx="7" formatCode="0.0">
                  <c:v>240.84394904458597</c:v>
                </c:pt>
                <c:pt idx="8" formatCode="0.0">
                  <c:v>240.84394904458603</c:v>
                </c:pt>
                <c:pt idx="9" formatCode="0.0">
                  <c:v>240.84394904458597</c:v>
                </c:pt>
                <c:pt idx="10" formatCode="0.0">
                  <c:v>240.84394904458597</c:v>
                </c:pt>
                <c:pt idx="11" formatCode="0.0">
                  <c:v>240.84394904458597</c:v>
                </c:pt>
                <c:pt idx="12" formatCode="0.0">
                  <c:v>240.84394904458597</c:v>
                </c:pt>
                <c:pt idx="13" formatCode="0.0">
                  <c:v>240.84394904458597</c:v>
                </c:pt>
                <c:pt idx="14" formatCode="0.0">
                  <c:v>240.84394904458597</c:v>
                </c:pt>
                <c:pt idx="15" formatCode="0.0">
                  <c:v>240.84394904458603</c:v>
                </c:pt>
                <c:pt idx="16" formatCode="0.0">
                  <c:v>240.843949044586</c:v>
                </c:pt>
                <c:pt idx="17" formatCode="0.0">
                  <c:v>240.84394904458597</c:v>
                </c:pt>
                <c:pt idx="18" formatCode="0.0">
                  <c:v>240.843949044586</c:v>
                </c:pt>
                <c:pt idx="19" formatCode="0.0">
                  <c:v>240.84394904458597</c:v>
                </c:pt>
                <c:pt idx="20" formatCode="0.0">
                  <c:v>240.84394904458594</c:v>
                </c:pt>
                <c:pt idx="21" formatCode="0.0">
                  <c:v>240.84394904458597</c:v>
                </c:pt>
                <c:pt idx="22" formatCode="0.0">
                  <c:v>240.84394904458597</c:v>
                </c:pt>
                <c:pt idx="23" formatCode="0.0">
                  <c:v>240.84394904458597</c:v>
                </c:pt>
                <c:pt idx="24" formatCode="0.0">
                  <c:v>240.843949044586</c:v>
                </c:pt>
                <c:pt idx="25" formatCode="0.0">
                  <c:v>240.84394904458597</c:v>
                </c:pt>
                <c:pt idx="26" formatCode="0.0">
                  <c:v>240.84394904458597</c:v>
                </c:pt>
                <c:pt idx="27" formatCode="0.0">
                  <c:v>240.84394904458597</c:v>
                </c:pt>
                <c:pt idx="28" formatCode="0.0">
                  <c:v>240.84394904458597</c:v>
                </c:pt>
                <c:pt idx="29" formatCode="0.0">
                  <c:v>240.84394904458603</c:v>
                </c:pt>
                <c:pt idx="30" formatCode="0.0">
                  <c:v>240.84394904458594</c:v>
                </c:pt>
                <c:pt idx="31" formatCode="0.0">
                  <c:v>240.843949044586</c:v>
                </c:pt>
                <c:pt idx="32" formatCode="0.0">
                  <c:v>240.84394904458603</c:v>
                </c:pt>
                <c:pt idx="33" formatCode="0.0">
                  <c:v>240.84394904458597</c:v>
                </c:pt>
                <c:pt idx="34" formatCode="0.0">
                  <c:v>240.84394904458597</c:v>
                </c:pt>
                <c:pt idx="35" formatCode="0.0">
                  <c:v>240.843949044586</c:v>
                </c:pt>
                <c:pt idx="36" formatCode="0.0">
                  <c:v>240.84394904458597</c:v>
                </c:pt>
                <c:pt idx="37" formatCode="0.0">
                  <c:v>240.84394904458597</c:v>
                </c:pt>
                <c:pt idx="38" formatCode="0.0">
                  <c:v>240.84394904458603</c:v>
                </c:pt>
                <c:pt idx="39" formatCode="0.0">
                  <c:v>240.84394904458594</c:v>
                </c:pt>
                <c:pt idx="40" formatCode="0.0">
                  <c:v>240.843949044586</c:v>
                </c:pt>
                <c:pt idx="41" formatCode="0.0">
                  <c:v>240.84394904458597</c:v>
                </c:pt>
                <c:pt idx="42" formatCode="0.0">
                  <c:v>240.84394904458597</c:v>
                </c:pt>
                <c:pt idx="43" formatCode="0.0">
                  <c:v>240.84394904458597</c:v>
                </c:pt>
                <c:pt idx="44" formatCode="0.0">
                  <c:v>240.84394904458597</c:v>
                </c:pt>
                <c:pt idx="45" formatCode="0.0">
                  <c:v>240.84394904458597</c:v>
                </c:pt>
                <c:pt idx="46" formatCode="0.0">
                  <c:v>240.843949044586</c:v>
                </c:pt>
                <c:pt idx="47" formatCode="0.0">
                  <c:v>240.843949044586</c:v>
                </c:pt>
                <c:pt idx="48" formatCode="0.0">
                  <c:v>240.84394904458597</c:v>
                </c:pt>
                <c:pt idx="49" formatCode="0.0">
                  <c:v>240.84394904458597</c:v>
                </c:pt>
                <c:pt idx="50" formatCode="0.0">
                  <c:v>240.843949044586</c:v>
                </c:pt>
                <c:pt idx="51" formatCode="0.0">
                  <c:v>240.84394904458597</c:v>
                </c:pt>
                <c:pt idx="52" formatCode="0.0">
                  <c:v>240.84394904458597</c:v>
                </c:pt>
                <c:pt idx="53" formatCode="0.0">
                  <c:v>240.84394904458597</c:v>
                </c:pt>
                <c:pt idx="54" formatCode="0.0">
                  <c:v>240.84394904458597</c:v>
                </c:pt>
                <c:pt idx="55" formatCode="0.0">
                  <c:v>240.84394904458597</c:v>
                </c:pt>
                <c:pt idx="56" formatCode="0.0">
                  <c:v>240.84394904458591</c:v>
                </c:pt>
                <c:pt idx="57" formatCode="0.0">
                  <c:v>240.84394904458603</c:v>
                </c:pt>
                <c:pt idx="58" formatCode="0.0">
                  <c:v>240.84394904458597</c:v>
                </c:pt>
                <c:pt idx="59" formatCode="0.0">
                  <c:v>240.84394904458594</c:v>
                </c:pt>
                <c:pt idx="60" formatCode="0.0">
                  <c:v>240.843949044586</c:v>
                </c:pt>
                <c:pt idx="61" formatCode="0.0">
                  <c:v>240.843949044586</c:v>
                </c:pt>
                <c:pt idx="62" formatCode="0.0">
                  <c:v>236.89568758483867</c:v>
                </c:pt>
                <c:pt idx="63" formatCode="0.0">
                  <c:v>233.07478939798645</c:v>
                </c:pt>
                <c:pt idx="64" formatCode="0.0">
                  <c:v>229.37518956627238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C-4D4B-BCAA-806CBC965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408688"/>
        <c:axId val="1025837104"/>
      </c:lineChart>
      <c:catAx>
        <c:axId val="91940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37104"/>
        <c:crosses val="autoZero"/>
        <c:auto val="1"/>
        <c:lblAlgn val="ctr"/>
        <c:lblOffset val="100"/>
        <c:noMultiLvlLbl val="0"/>
      </c:catAx>
      <c:valAx>
        <c:axId val="10258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0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1</xdr:row>
      <xdr:rowOff>15240</xdr:rowOff>
    </xdr:from>
    <xdr:to>
      <xdr:col>16</xdr:col>
      <xdr:colOff>281940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24836-62CD-4F7B-B5B9-6975882D6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2438400</xdr:colOff>
      <xdr:row>26</xdr:row>
      <xdr:rowOff>135921</xdr:rowOff>
    </xdr:from>
    <xdr:to>
      <xdr:col>8</xdr:col>
      <xdr:colOff>336307</xdr:colOff>
      <xdr:row>44</xdr:row>
      <xdr:rowOff>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9C18C-AA4B-1CE6-CE73-DC6277B02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4797568"/>
          <a:ext cx="5186213" cy="31105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556260</xdr:colOff>
      <xdr:row>2</xdr:row>
      <xdr:rowOff>38100</xdr:rowOff>
    </xdr:from>
    <xdr:to>
      <xdr:col>11</xdr:col>
      <xdr:colOff>480</xdr:colOff>
      <xdr:row>16</xdr:row>
      <xdr:rowOff>167873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A4CD9-62C8-2874-E8B0-1A18F4C0A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860" y="403860"/>
          <a:ext cx="5540220" cy="2690093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</xdr:colOff>
      <xdr:row>3</xdr:row>
      <xdr:rowOff>53340</xdr:rowOff>
    </xdr:from>
    <xdr:to>
      <xdr:col>19</xdr:col>
      <xdr:colOff>129866</xdr:colOff>
      <xdr:row>39</xdr:row>
      <xdr:rowOff>38669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FE5EA-CE1A-6967-DF7A-84CD7F455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5280" y="601980"/>
          <a:ext cx="3756986" cy="656900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18</xdr:col>
      <xdr:colOff>556572</xdr:colOff>
      <xdr:row>75</xdr:row>
      <xdr:rowOff>92003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4FD9C5-8080-4BC1-451C-03646EAD6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7315200"/>
          <a:ext cx="3604572" cy="64928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295835</xdr:colOff>
      <xdr:row>20</xdr:row>
      <xdr:rowOff>134472</xdr:rowOff>
    </xdr:from>
    <xdr:to>
      <xdr:col>5</xdr:col>
      <xdr:colOff>297900</xdr:colOff>
      <xdr:row>23</xdr:row>
      <xdr:rowOff>145277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9579C1-2166-042D-6416-EE7AA0DB0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435" y="3720354"/>
          <a:ext cx="3139712" cy="5486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182880</xdr:colOff>
      <xdr:row>6</xdr:row>
      <xdr:rowOff>110490</xdr:rowOff>
    </xdr:from>
    <xdr:to>
      <xdr:col>23</xdr:col>
      <xdr:colOff>137160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82424E-9347-406A-8223-6B084FA14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182880</xdr:colOff>
      <xdr:row>6</xdr:row>
      <xdr:rowOff>110490</xdr:rowOff>
    </xdr:from>
    <xdr:to>
      <xdr:col>36</xdr:col>
      <xdr:colOff>137160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A212E-2BE8-4253-8475-BDF4C7783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4907-BFC9-4152-83D6-E556FC8B9B10}">
  <dimension ref="A1:E20"/>
  <sheetViews>
    <sheetView zoomScale="85" zoomScaleNormal="85" workbookViewId="0">
      <selection activeCell="N26" sqref="N26"/>
    </sheetView>
  </sheetViews>
  <sheetFormatPr defaultRowHeight="14.4" x14ac:dyDescent="0.3"/>
  <cols>
    <col min="1" max="1" width="16.5546875" bestFit="1" customWidth="1"/>
    <col min="2" max="2" width="10.44140625" bestFit="1" customWidth="1"/>
    <col min="3" max="3" width="10.88671875" bestFit="1" customWidth="1"/>
    <col min="4" max="4" width="12" bestFit="1" customWidth="1"/>
    <col min="5" max="5" width="13.44140625" bestFit="1" customWidth="1"/>
  </cols>
  <sheetData>
    <row r="1" spans="1:5" x14ac:dyDescent="0.3">
      <c r="A1" s="23" t="s">
        <v>6</v>
      </c>
      <c r="B1" s="23" t="s">
        <v>5</v>
      </c>
      <c r="C1" s="23"/>
      <c r="D1" s="23" t="s">
        <v>1</v>
      </c>
      <c r="E1" s="23" t="s">
        <v>42</v>
      </c>
    </row>
    <row r="2" spans="1:5" x14ac:dyDescent="0.3">
      <c r="A2">
        <v>1</v>
      </c>
      <c r="B2">
        <v>3.75</v>
      </c>
      <c r="D2" s="5">
        <f>B2*$B$9</f>
        <v>13.3125</v>
      </c>
      <c r="E2" s="5">
        <f>(60*$B$11/D2)*(($B$12*3.14)/63360)</f>
        <v>35.179257362355955</v>
      </c>
    </row>
    <row r="3" spans="1:5" x14ac:dyDescent="0.3">
      <c r="A3">
        <v>2</v>
      </c>
      <c r="B3">
        <v>2.2599999999999998</v>
      </c>
      <c r="D3" s="5">
        <f t="shared" ref="D3:D8" si="0">B3*$B$9</f>
        <v>8.0229999999999997</v>
      </c>
      <c r="E3" s="5">
        <f>(60*$B$11/D3)*(($B$12*3.14)/63360)</f>
        <v>58.372661552581775</v>
      </c>
    </row>
    <row r="4" spans="1:5" x14ac:dyDescent="0.3">
      <c r="A4">
        <v>3</v>
      </c>
      <c r="B4">
        <v>1.37</v>
      </c>
      <c r="D4" s="5">
        <f t="shared" si="0"/>
        <v>4.8635000000000002</v>
      </c>
      <c r="E4" s="5">
        <f>(60*$B$11/D4)*(($B$12*3.14)/63360)</f>
        <v>96.293587670682356</v>
      </c>
    </row>
    <row r="5" spans="1:5" x14ac:dyDescent="0.3">
      <c r="A5">
        <v>4</v>
      </c>
      <c r="B5">
        <v>1</v>
      </c>
      <c r="D5" s="5">
        <f t="shared" si="0"/>
        <v>3.55</v>
      </c>
      <c r="E5" s="5">
        <f>(60*$B$11/D5)*(($B$12*3.14)/63360)</f>
        <v>131.92221510883482</v>
      </c>
    </row>
    <row r="6" spans="1:5" x14ac:dyDescent="0.3">
      <c r="A6">
        <v>5</v>
      </c>
      <c r="B6">
        <v>0.73</v>
      </c>
      <c r="D6" s="5">
        <f t="shared" si="0"/>
        <v>2.5914999999999999</v>
      </c>
      <c r="E6" s="5">
        <f>(60*$B$11/D6)*(($B$12*3.14)/63360)</f>
        <v>180.71536316278744</v>
      </c>
    </row>
    <row r="7" spans="1:5" x14ac:dyDescent="0.3">
      <c r="D7" s="5"/>
      <c r="E7" s="5"/>
    </row>
    <row r="8" spans="1:5" x14ac:dyDescent="0.3">
      <c r="A8" t="s">
        <v>7</v>
      </c>
      <c r="B8">
        <v>2.9</v>
      </c>
      <c r="D8" s="5">
        <f t="shared" si="0"/>
        <v>10.295</v>
      </c>
      <c r="E8" s="5"/>
    </row>
    <row r="9" spans="1:5" x14ac:dyDescent="0.3">
      <c r="A9" t="s">
        <v>0</v>
      </c>
      <c r="B9" s="11">
        <v>3.55</v>
      </c>
      <c r="D9" s="5"/>
    </row>
    <row r="11" spans="1:5" x14ac:dyDescent="0.3">
      <c r="A11" t="s">
        <v>3</v>
      </c>
      <c r="B11">
        <v>6300</v>
      </c>
      <c r="C11" t="s">
        <v>4</v>
      </c>
    </row>
    <row r="12" spans="1:5" x14ac:dyDescent="0.3">
      <c r="A12" t="s">
        <v>54</v>
      </c>
      <c r="B12">
        <v>25</v>
      </c>
      <c r="C12" t="s">
        <v>2</v>
      </c>
      <c r="E12" t="s">
        <v>53</v>
      </c>
    </row>
    <row r="20" spans="2:2" x14ac:dyDescent="0.3">
      <c r="B20" t="s">
        <v>139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69EE-893A-4A60-A6F9-D139481100B9}">
  <dimension ref="A1:K84"/>
  <sheetViews>
    <sheetView zoomScale="86" zoomScaleNormal="86" workbookViewId="0">
      <pane ySplit="1" topLeftCell="A2" activePane="bottomLeft" state="frozen"/>
      <selection pane="bottomLeft" activeCell="H88" sqref="H88"/>
    </sheetView>
  </sheetViews>
  <sheetFormatPr defaultRowHeight="14.4" x14ac:dyDescent="0.3"/>
  <cols>
    <col min="1" max="1" width="10.6640625" bestFit="1" customWidth="1"/>
    <col min="2" max="2" width="35.109375" bestFit="1" customWidth="1"/>
    <col min="3" max="3" width="12.33203125" bestFit="1" customWidth="1"/>
    <col min="4" max="4" width="5.6640625" bestFit="1" customWidth="1"/>
    <col min="5" max="5" width="13" bestFit="1" customWidth="1"/>
    <col min="6" max="6" width="17.33203125" bestFit="1" customWidth="1"/>
    <col min="7" max="7" width="16.6640625" bestFit="1" customWidth="1"/>
    <col min="8" max="8" width="10.44140625" bestFit="1" customWidth="1"/>
    <col min="9" max="9" width="11.33203125" bestFit="1" customWidth="1"/>
  </cols>
  <sheetData>
    <row r="1" spans="1:11" x14ac:dyDescent="0.3">
      <c r="C1" s="23" t="s">
        <v>11</v>
      </c>
      <c r="D1" s="23" t="s">
        <v>109</v>
      </c>
      <c r="E1" s="23" t="s">
        <v>111</v>
      </c>
      <c r="F1" s="23" t="s">
        <v>107</v>
      </c>
      <c r="G1" s="23" t="s">
        <v>115</v>
      </c>
      <c r="H1" s="23" t="s">
        <v>164</v>
      </c>
      <c r="I1" s="23" t="s">
        <v>105</v>
      </c>
      <c r="J1" s="23" t="s">
        <v>106</v>
      </c>
    </row>
    <row r="2" spans="1:11" x14ac:dyDescent="0.3">
      <c r="A2" s="23" t="s">
        <v>64</v>
      </c>
      <c r="I2" s="26">
        <f>H2*D2</f>
        <v>0</v>
      </c>
    </row>
    <row r="3" spans="1:11" x14ac:dyDescent="0.3">
      <c r="B3" t="s">
        <v>59</v>
      </c>
      <c r="C3">
        <v>450</v>
      </c>
      <c r="D3">
        <v>1</v>
      </c>
      <c r="E3">
        <f>C3*D3</f>
        <v>450</v>
      </c>
      <c r="F3">
        <v>80.599999999999994</v>
      </c>
      <c r="G3">
        <f>E3*F3</f>
        <v>36270</v>
      </c>
      <c r="H3" s="26">
        <v>500</v>
      </c>
      <c r="I3" s="26">
        <f t="shared" ref="I3:I66" si="0">H3*D3</f>
        <v>500</v>
      </c>
    </row>
    <row r="4" spans="1:11" x14ac:dyDescent="0.3">
      <c r="B4" t="s">
        <v>63</v>
      </c>
      <c r="C4">
        <v>20</v>
      </c>
      <c r="D4">
        <v>1</v>
      </c>
      <c r="E4">
        <f t="shared" ref="E4:E74" si="1">C4*D4</f>
        <v>20</v>
      </c>
      <c r="F4">
        <v>80.599999999999994</v>
      </c>
      <c r="G4">
        <f t="shared" ref="G4:G73" si="2">E4*F4</f>
        <v>1612</v>
      </c>
      <c r="H4" s="26"/>
      <c r="I4" s="26">
        <f t="shared" si="0"/>
        <v>0</v>
      </c>
    </row>
    <row r="5" spans="1:11" x14ac:dyDescent="0.3">
      <c r="B5" t="s">
        <v>61</v>
      </c>
      <c r="C5">
        <v>14</v>
      </c>
      <c r="D5">
        <v>1</v>
      </c>
      <c r="E5">
        <f t="shared" si="1"/>
        <v>14</v>
      </c>
      <c r="F5">
        <v>33</v>
      </c>
      <c r="G5">
        <f t="shared" si="2"/>
        <v>462</v>
      </c>
      <c r="H5" s="26">
        <v>90</v>
      </c>
      <c r="I5" s="26">
        <f t="shared" si="0"/>
        <v>90</v>
      </c>
    </row>
    <row r="6" spans="1:11" x14ac:dyDescent="0.3">
      <c r="B6" t="s">
        <v>62</v>
      </c>
      <c r="C6">
        <v>0</v>
      </c>
      <c r="E6">
        <f t="shared" si="1"/>
        <v>0</v>
      </c>
      <c r="G6">
        <f t="shared" si="2"/>
        <v>0</v>
      </c>
      <c r="H6" s="26"/>
      <c r="I6" s="26">
        <f t="shared" si="0"/>
        <v>0</v>
      </c>
    </row>
    <row r="7" spans="1:11" x14ac:dyDescent="0.3">
      <c r="B7" t="s">
        <v>81</v>
      </c>
      <c r="C7">
        <v>0</v>
      </c>
      <c r="E7">
        <f t="shared" si="1"/>
        <v>0</v>
      </c>
      <c r="G7">
        <f t="shared" si="2"/>
        <v>0</v>
      </c>
      <c r="H7" s="26"/>
      <c r="I7" s="26">
        <f t="shared" si="0"/>
        <v>0</v>
      </c>
      <c r="J7" t="s">
        <v>169</v>
      </c>
    </row>
    <row r="8" spans="1:11" x14ac:dyDescent="0.3">
      <c r="B8" t="s">
        <v>119</v>
      </c>
      <c r="H8" s="26"/>
      <c r="I8" s="26">
        <f t="shared" si="0"/>
        <v>0</v>
      </c>
      <c r="J8" t="s">
        <v>170</v>
      </c>
    </row>
    <row r="9" spans="1:11" x14ac:dyDescent="0.3">
      <c r="E9">
        <f t="shared" si="1"/>
        <v>0</v>
      </c>
      <c r="G9">
        <f t="shared" si="2"/>
        <v>0</v>
      </c>
      <c r="H9" s="26"/>
      <c r="I9" s="26">
        <f t="shared" si="0"/>
        <v>0</v>
      </c>
      <c r="K9" s="26"/>
    </row>
    <row r="10" spans="1:11" x14ac:dyDescent="0.3">
      <c r="A10" s="23" t="s">
        <v>65</v>
      </c>
      <c r="E10">
        <f t="shared" si="1"/>
        <v>0</v>
      </c>
      <c r="G10">
        <f t="shared" si="2"/>
        <v>0</v>
      </c>
      <c r="I10" s="26"/>
    </row>
    <row r="11" spans="1:11" x14ac:dyDescent="0.3">
      <c r="B11" t="s">
        <v>60</v>
      </c>
      <c r="C11">
        <v>107</v>
      </c>
      <c r="D11">
        <v>1</v>
      </c>
      <c r="E11">
        <f t="shared" si="1"/>
        <v>107</v>
      </c>
      <c r="F11">
        <v>92</v>
      </c>
      <c r="G11">
        <f t="shared" si="2"/>
        <v>9844</v>
      </c>
      <c r="H11" s="26">
        <v>250</v>
      </c>
      <c r="I11" s="26">
        <f t="shared" si="0"/>
        <v>250</v>
      </c>
    </row>
    <row r="12" spans="1:11" x14ac:dyDescent="0.3">
      <c r="B12" t="s">
        <v>68</v>
      </c>
      <c r="E12">
        <f t="shared" si="1"/>
        <v>0</v>
      </c>
      <c r="F12">
        <v>124.25</v>
      </c>
      <c r="G12">
        <f t="shared" si="2"/>
        <v>0</v>
      </c>
      <c r="H12" s="26">
        <v>500</v>
      </c>
      <c r="I12" s="26">
        <f t="shared" si="0"/>
        <v>0</v>
      </c>
      <c r="J12" t="s">
        <v>168</v>
      </c>
    </row>
    <row r="13" spans="1:11" x14ac:dyDescent="0.3">
      <c r="B13" t="s">
        <v>108</v>
      </c>
      <c r="C13">
        <v>100</v>
      </c>
      <c r="D13">
        <v>1</v>
      </c>
      <c r="E13">
        <f t="shared" si="1"/>
        <v>100</v>
      </c>
      <c r="F13">
        <v>145</v>
      </c>
      <c r="G13">
        <f t="shared" si="2"/>
        <v>14500</v>
      </c>
      <c r="H13" s="26">
        <v>500</v>
      </c>
      <c r="I13" s="26">
        <f t="shared" si="0"/>
        <v>500</v>
      </c>
    </row>
    <row r="14" spans="1:11" x14ac:dyDescent="0.3">
      <c r="B14" t="s">
        <v>69</v>
      </c>
      <c r="C14">
        <v>40</v>
      </c>
      <c r="D14">
        <v>2</v>
      </c>
      <c r="E14">
        <f t="shared" si="1"/>
        <v>80</v>
      </c>
      <c r="F14">
        <v>146.75</v>
      </c>
      <c r="G14">
        <f t="shared" si="2"/>
        <v>11740</v>
      </c>
      <c r="H14" s="26">
        <v>100</v>
      </c>
      <c r="I14" s="26">
        <f t="shared" si="0"/>
        <v>200</v>
      </c>
    </row>
    <row r="15" spans="1:11" x14ac:dyDescent="0.3">
      <c r="E15">
        <f t="shared" si="1"/>
        <v>0</v>
      </c>
      <c r="G15">
        <f t="shared" si="2"/>
        <v>0</v>
      </c>
      <c r="I15" s="26">
        <f t="shared" si="0"/>
        <v>0</v>
      </c>
    </row>
    <row r="16" spans="1:11" x14ac:dyDescent="0.3">
      <c r="A16" s="23" t="s">
        <v>66</v>
      </c>
      <c r="E16">
        <f t="shared" si="1"/>
        <v>0</v>
      </c>
      <c r="G16">
        <f t="shared" si="2"/>
        <v>0</v>
      </c>
      <c r="I16" s="26"/>
    </row>
    <row r="17" spans="1:10" x14ac:dyDescent="0.3">
      <c r="B17" t="s">
        <v>78</v>
      </c>
      <c r="C17" s="24">
        <v>200</v>
      </c>
      <c r="D17">
        <v>1</v>
      </c>
      <c r="E17">
        <f t="shared" si="1"/>
        <v>200</v>
      </c>
      <c r="F17">
        <v>105.5</v>
      </c>
      <c r="G17">
        <f t="shared" si="2"/>
        <v>21100</v>
      </c>
      <c r="H17" s="26">
        <v>800</v>
      </c>
      <c r="I17" s="26">
        <v>1000</v>
      </c>
      <c r="J17" t="s">
        <v>171</v>
      </c>
    </row>
    <row r="18" spans="1:10" x14ac:dyDescent="0.3">
      <c r="B18" t="s">
        <v>90</v>
      </c>
      <c r="C18" s="24">
        <v>40</v>
      </c>
      <c r="D18">
        <v>1</v>
      </c>
      <c r="E18">
        <f t="shared" si="1"/>
        <v>40</v>
      </c>
      <c r="F18">
        <v>97</v>
      </c>
      <c r="G18">
        <f t="shared" si="2"/>
        <v>3880</v>
      </c>
      <c r="H18" s="26">
        <v>0</v>
      </c>
      <c r="I18" s="26">
        <f t="shared" si="0"/>
        <v>0</v>
      </c>
      <c r="J18" t="s">
        <v>172</v>
      </c>
    </row>
    <row r="19" spans="1:10" x14ac:dyDescent="0.3">
      <c r="B19" t="s">
        <v>91</v>
      </c>
      <c r="E19">
        <f t="shared" si="1"/>
        <v>0</v>
      </c>
      <c r="G19">
        <f t="shared" si="2"/>
        <v>0</v>
      </c>
      <c r="H19" s="26">
        <v>0</v>
      </c>
      <c r="I19" s="26">
        <f t="shared" si="0"/>
        <v>0</v>
      </c>
      <c r="J19" t="s">
        <v>172</v>
      </c>
    </row>
    <row r="20" spans="1:10" x14ac:dyDescent="0.3">
      <c r="B20" t="s">
        <v>79</v>
      </c>
      <c r="C20">
        <v>100</v>
      </c>
      <c r="D20">
        <v>1</v>
      </c>
      <c r="E20">
        <f t="shared" si="1"/>
        <v>100</v>
      </c>
      <c r="F20">
        <v>53</v>
      </c>
      <c r="G20">
        <f t="shared" si="2"/>
        <v>5300</v>
      </c>
      <c r="H20" s="26">
        <v>650</v>
      </c>
      <c r="I20" s="26">
        <f t="shared" si="0"/>
        <v>650</v>
      </c>
      <c r="J20" t="s">
        <v>167</v>
      </c>
    </row>
    <row r="21" spans="1:10" x14ac:dyDescent="0.3">
      <c r="B21" t="s">
        <v>80</v>
      </c>
      <c r="C21">
        <v>50</v>
      </c>
      <c r="D21">
        <v>1</v>
      </c>
      <c r="E21">
        <f t="shared" si="1"/>
        <v>50</v>
      </c>
      <c r="F21">
        <v>141</v>
      </c>
      <c r="G21">
        <f t="shared" si="2"/>
        <v>7050</v>
      </c>
      <c r="H21" s="26">
        <v>300</v>
      </c>
      <c r="I21" s="26">
        <f t="shared" si="0"/>
        <v>300</v>
      </c>
      <c r="J21" t="s">
        <v>166</v>
      </c>
    </row>
    <row r="22" spans="1:10" x14ac:dyDescent="0.3">
      <c r="B22" t="s">
        <v>173</v>
      </c>
      <c r="C22">
        <v>5</v>
      </c>
      <c r="D22">
        <v>1</v>
      </c>
      <c r="E22">
        <f t="shared" si="1"/>
        <v>5</v>
      </c>
      <c r="F22">
        <v>23</v>
      </c>
      <c r="G22">
        <f t="shared" si="2"/>
        <v>115</v>
      </c>
      <c r="H22" s="26">
        <v>100</v>
      </c>
      <c r="I22" s="26">
        <f t="shared" si="0"/>
        <v>100</v>
      </c>
    </row>
    <row r="23" spans="1:10" x14ac:dyDescent="0.3">
      <c r="B23" t="s">
        <v>174</v>
      </c>
      <c r="C23">
        <v>5</v>
      </c>
      <c r="D23">
        <v>1</v>
      </c>
      <c r="E23">
        <f t="shared" si="1"/>
        <v>5</v>
      </c>
      <c r="F23">
        <v>163</v>
      </c>
      <c r="G23">
        <f t="shared" si="2"/>
        <v>815</v>
      </c>
      <c r="H23" s="26">
        <v>100</v>
      </c>
      <c r="I23" s="26">
        <f t="shared" si="0"/>
        <v>100</v>
      </c>
    </row>
    <row r="24" spans="1:10" x14ac:dyDescent="0.3">
      <c r="B24" t="s">
        <v>82</v>
      </c>
      <c r="C24">
        <v>8</v>
      </c>
      <c r="D24">
        <v>1</v>
      </c>
      <c r="E24">
        <f t="shared" si="1"/>
        <v>8</v>
      </c>
      <c r="F24">
        <v>105</v>
      </c>
      <c r="G24">
        <f t="shared" si="2"/>
        <v>840</v>
      </c>
      <c r="H24" s="26"/>
      <c r="I24" s="26">
        <f t="shared" si="0"/>
        <v>0</v>
      </c>
      <c r="J24" t="s">
        <v>172</v>
      </c>
    </row>
    <row r="25" spans="1:10" x14ac:dyDescent="0.3">
      <c r="B25" t="s">
        <v>83</v>
      </c>
      <c r="C25">
        <v>8</v>
      </c>
      <c r="D25">
        <v>1</v>
      </c>
      <c r="E25">
        <f t="shared" si="1"/>
        <v>8</v>
      </c>
      <c r="F25">
        <v>105</v>
      </c>
      <c r="G25">
        <f t="shared" si="2"/>
        <v>840</v>
      </c>
      <c r="H25" s="26"/>
      <c r="I25" s="26">
        <f t="shared" si="0"/>
        <v>0</v>
      </c>
      <c r="J25" t="s">
        <v>172</v>
      </c>
    </row>
    <row r="26" spans="1:10" x14ac:dyDescent="0.3">
      <c r="G26">
        <f t="shared" si="2"/>
        <v>0</v>
      </c>
      <c r="H26" s="26"/>
      <c r="I26" s="26">
        <f t="shared" si="0"/>
        <v>0</v>
      </c>
    </row>
    <row r="27" spans="1:10" x14ac:dyDescent="0.3">
      <c r="A27" s="23" t="s">
        <v>67</v>
      </c>
      <c r="G27">
        <f t="shared" si="2"/>
        <v>0</v>
      </c>
      <c r="I27" s="26"/>
    </row>
    <row r="28" spans="1:10" x14ac:dyDescent="0.3">
      <c r="B28" t="s">
        <v>70</v>
      </c>
      <c r="C28">
        <v>20</v>
      </c>
      <c r="D28">
        <v>2</v>
      </c>
      <c r="E28">
        <f t="shared" si="1"/>
        <v>40</v>
      </c>
      <c r="F28">
        <v>43.75</v>
      </c>
      <c r="G28">
        <f t="shared" si="2"/>
        <v>1750</v>
      </c>
      <c r="H28" s="26">
        <v>70</v>
      </c>
      <c r="I28" s="26">
        <f t="shared" si="0"/>
        <v>140</v>
      </c>
    </row>
    <row r="29" spans="1:10" x14ac:dyDescent="0.3">
      <c r="B29" t="s">
        <v>71</v>
      </c>
      <c r="C29">
        <v>20</v>
      </c>
      <c r="D29">
        <v>2</v>
      </c>
      <c r="E29">
        <f t="shared" si="1"/>
        <v>40</v>
      </c>
      <c r="F29">
        <v>146.75</v>
      </c>
      <c r="G29">
        <f t="shared" si="2"/>
        <v>5870</v>
      </c>
      <c r="H29" s="26">
        <v>70</v>
      </c>
      <c r="I29" s="26">
        <f t="shared" si="0"/>
        <v>140</v>
      </c>
    </row>
    <row r="30" spans="1:10" x14ac:dyDescent="0.3">
      <c r="B30" t="s">
        <v>72</v>
      </c>
      <c r="C30">
        <v>20</v>
      </c>
      <c r="D30">
        <v>2</v>
      </c>
      <c r="E30">
        <f t="shared" si="1"/>
        <v>40</v>
      </c>
      <c r="F30">
        <v>43.75</v>
      </c>
      <c r="G30">
        <f t="shared" si="2"/>
        <v>1750</v>
      </c>
      <c r="H30" s="26">
        <v>75</v>
      </c>
      <c r="I30" s="26">
        <f t="shared" si="0"/>
        <v>150</v>
      </c>
    </row>
    <row r="31" spans="1:10" x14ac:dyDescent="0.3">
      <c r="B31" t="s">
        <v>73</v>
      </c>
      <c r="C31">
        <v>20</v>
      </c>
      <c r="D31">
        <v>2</v>
      </c>
      <c r="E31">
        <f t="shared" si="1"/>
        <v>40</v>
      </c>
      <c r="F31">
        <v>146.75</v>
      </c>
      <c r="G31">
        <f t="shared" si="2"/>
        <v>5870</v>
      </c>
      <c r="H31" s="26">
        <v>75</v>
      </c>
      <c r="I31" s="26">
        <f t="shared" si="0"/>
        <v>150</v>
      </c>
    </row>
    <row r="32" spans="1:10" x14ac:dyDescent="0.3">
      <c r="B32" t="s">
        <v>74</v>
      </c>
      <c r="C32">
        <v>20</v>
      </c>
      <c r="D32">
        <v>2</v>
      </c>
      <c r="E32">
        <f t="shared" si="1"/>
        <v>40</v>
      </c>
      <c r="F32">
        <v>43.75</v>
      </c>
      <c r="G32">
        <f t="shared" si="2"/>
        <v>1750</v>
      </c>
      <c r="H32" s="26">
        <v>100</v>
      </c>
      <c r="I32" s="26">
        <f t="shared" si="0"/>
        <v>200</v>
      </c>
    </row>
    <row r="33" spans="1:10" x14ac:dyDescent="0.3">
      <c r="B33" t="s">
        <v>99</v>
      </c>
      <c r="C33">
        <v>15</v>
      </c>
      <c r="D33">
        <v>2</v>
      </c>
      <c r="E33">
        <f t="shared" si="1"/>
        <v>30</v>
      </c>
      <c r="F33">
        <v>43.75</v>
      </c>
      <c r="G33">
        <f t="shared" si="2"/>
        <v>1312.5</v>
      </c>
      <c r="H33" s="26">
        <v>500</v>
      </c>
      <c r="I33" s="26">
        <f t="shared" si="0"/>
        <v>1000</v>
      </c>
      <c r="J33" t="s">
        <v>171</v>
      </c>
    </row>
    <row r="34" spans="1:10" x14ac:dyDescent="0.3">
      <c r="B34" t="s">
        <v>101</v>
      </c>
      <c r="D34">
        <v>2</v>
      </c>
      <c r="E34">
        <f t="shared" si="1"/>
        <v>0</v>
      </c>
      <c r="F34">
        <v>43.75</v>
      </c>
      <c r="G34">
        <f t="shared" si="2"/>
        <v>0</v>
      </c>
      <c r="H34" s="26"/>
      <c r="I34" s="26">
        <f t="shared" si="0"/>
        <v>0</v>
      </c>
    </row>
    <row r="35" spans="1:10" x14ac:dyDescent="0.3">
      <c r="B35" t="s">
        <v>75</v>
      </c>
      <c r="C35">
        <v>15</v>
      </c>
      <c r="D35">
        <v>2</v>
      </c>
      <c r="E35">
        <f t="shared" si="1"/>
        <v>30</v>
      </c>
      <c r="F35">
        <v>146.75</v>
      </c>
      <c r="G35">
        <f t="shared" si="2"/>
        <v>4402.5</v>
      </c>
      <c r="H35" s="26">
        <v>100</v>
      </c>
      <c r="I35" s="26">
        <f t="shared" si="0"/>
        <v>200</v>
      </c>
    </row>
    <row r="36" spans="1:10" x14ac:dyDescent="0.3">
      <c r="B36" t="s">
        <v>100</v>
      </c>
      <c r="D36">
        <v>2</v>
      </c>
      <c r="E36">
        <f t="shared" si="1"/>
        <v>0</v>
      </c>
      <c r="F36">
        <v>146.75</v>
      </c>
      <c r="G36">
        <f t="shared" si="2"/>
        <v>0</v>
      </c>
      <c r="H36" s="26">
        <v>400</v>
      </c>
      <c r="I36" s="26">
        <f t="shared" si="0"/>
        <v>800</v>
      </c>
    </row>
    <row r="37" spans="1:10" x14ac:dyDescent="0.3">
      <c r="B37" t="s">
        <v>102</v>
      </c>
      <c r="D37">
        <v>2</v>
      </c>
      <c r="E37">
        <f t="shared" si="1"/>
        <v>0</v>
      </c>
      <c r="F37">
        <v>146.75</v>
      </c>
      <c r="G37">
        <f t="shared" si="2"/>
        <v>0</v>
      </c>
      <c r="H37" s="26"/>
      <c r="I37" s="26">
        <f t="shared" si="0"/>
        <v>0</v>
      </c>
    </row>
    <row r="38" spans="1:10" x14ac:dyDescent="0.3">
      <c r="B38" t="s">
        <v>76</v>
      </c>
      <c r="C38">
        <v>20</v>
      </c>
      <c r="D38">
        <v>1</v>
      </c>
      <c r="E38">
        <f t="shared" si="1"/>
        <v>20</v>
      </c>
      <c r="F38" s="24">
        <v>35</v>
      </c>
      <c r="G38">
        <f t="shared" si="2"/>
        <v>700</v>
      </c>
      <c r="H38" s="26">
        <v>200</v>
      </c>
      <c r="I38" s="26">
        <f t="shared" si="0"/>
        <v>200</v>
      </c>
    </row>
    <row r="39" spans="1:10" x14ac:dyDescent="0.3">
      <c r="B39" t="s">
        <v>112</v>
      </c>
      <c r="C39">
        <v>10</v>
      </c>
      <c r="E39">
        <f t="shared" si="1"/>
        <v>0</v>
      </c>
      <c r="F39">
        <v>35</v>
      </c>
      <c r="G39">
        <f t="shared" si="2"/>
        <v>0</v>
      </c>
      <c r="H39" s="26"/>
      <c r="I39" s="26">
        <f t="shared" si="0"/>
        <v>0</v>
      </c>
      <c r="J39" t="s">
        <v>175</v>
      </c>
    </row>
    <row r="40" spans="1:10" x14ac:dyDescent="0.3">
      <c r="B40" t="s">
        <v>110</v>
      </c>
      <c r="D40">
        <v>1</v>
      </c>
      <c r="E40">
        <f t="shared" si="1"/>
        <v>0</v>
      </c>
      <c r="G40">
        <f t="shared" si="2"/>
        <v>0</v>
      </c>
      <c r="H40" s="26">
        <v>180</v>
      </c>
      <c r="I40" s="26">
        <f t="shared" si="0"/>
        <v>180</v>
      </c>
      <c r="J40" t="s">
        <v>176</v>
      </c>
    </row>
    <row r="41" spans="1:10" x14ac:dyDescent="0.3">
      <c r="B41" t="s">
        <v>161</v>
      </c>
      <c r="C41">
        <v>22</v>
      </c>
      <c r="D41">
        <v>2</v>
      </c>
      <c r="E41">
        <f t="shared" si="1"/>
        <v>44</v>
      </c>
      <c r="F41">
        <v>43.75</v>
      </c>
      <c r="G41">
        <f t="shared" si="2"/>
        <v>1925</v>
      </c>
      <c r="H41" s="26">
        <v>262.5</v>
      </c>
      <c r="I41" s="26">
        <f t="shared" si="0"/>
        <v>525</v>
      </c>
      <c r="J41" t="s">
        <v>127</v>
      </c>
    </row>
    <row r="42" spans="1:10" x14ac:dyDescent="0.3">
      <c r="B42" t="s">
        <v>160</v>
      </c>
      <c r="C42">
        <v>22</v>
      </c>
      <c r="D42">
        <v>2</v>
      </c>
      <c r="E42">
        <f t="shared" si="1"/>
        <v>44</v>
      </c>
      <c r="F42">
        <v>146.75</v>
      </c>
      <c r="G42">
        <f t="shared" si="2"/>
        <v>6457</v>
      </c>
      <c r="H42" s="26">
        <v>262.5</v>
      </c>
      <c r="I42" s="26">
        <f t="shared" si="0"/>
        <v>525</v>
      </c>
    </row>
    <row r="43" spans="1:10" x14ac:dyDescent="0.3">
      <c r="B43" t="s">
        <v>163</v>
      </c>
      <c r="C43">
        <v>30</v>
      </c>
      <c r="D43">
        <v>2</v>
      </c>
      <c r="E43">
        <f t="shared" si="1"/>
        <v>60</v>
      </c>
      <c r="F43">
        <v>43.75</v>
      </c>
      <c r="G43">
        <f t="shared" si="2"/>
        <v>2625</v>
      </c>
      <c r="H43" s="26">
        <v>297</v>
      </c>
      <c r="I43" s="26">
        <f t="shared" si="0"/>
        <v>594</v>
      </c>
      <c r="J43" t="s">
        <v>159</v>
      </c>
    </row>
    <row r="44" spans="1:10" x14ac:dyDescent="0.3">
      <c r="B44" t="s">
        <v>162</v>
      </c>
      <c r="C44">
        <v>30</v>
      </c>
      <c r="D44">
        <v>2</v>
      </c>
      <c r="E44">
        <f t="shared" si="1"/>
        <v>60</v>
      </c>
      <c r="F44">
        <v>146.75</v>
      </c>
      <c r="G44">
        <f t="shared" si="2"/>
        <v>8805</v>
      </c>
      <c r="H44" s="26">
        <v>297</v>
      </c>
      <c r="I44" s="26">
        <f t="shared" si="0"/>
        <v>594</v>
      </c>
      <c r="J44" t="s">
        <v>159</v>
      </c>
    </row>
    <row r="45" spans="1:10" x14ac:dyDescent="0.3">
      <c r="E45">
        <f t="shared" si="1"/>
        <v>0</v>
      </c>
      <c r="G45">
        <f t="shared" si="2"/>
        <v>0</v>
      </c>
      <c r="H45" s="26"/>
      <c r="I45" s="26">
        <f t="shared" si="0"/>
        <v>0</v>
      </c>
    </row>
    <row r="46" spans="1:10" x14ac:dyDescent="0.3">
      <c r="A46" s="23" t="s">
        <v>85</v>
      </c>
      <c r="E46">
        <f t="shared" si="1"/>
        <v>0</v>
      </c>
      <c r="G46">
        <f t="shared" si="2"/>
        <v>0</v>
      </c>
      <c r="I46" s="26"/>
    </row>
    <row r="47" spans="1:10" x14ac:dyDescent="0.3">
      <c r="A47" s="23"/>
      <c r="B47" t="s">
        <v>165</v>
      </c>
      <c r="C47">
        <v>1</v>
      </c>
      <c r="H47" s="26"/>
      <c r="I47" s="26">
        <f t="shared" si="0"/>
        <v>0</v>
      </c>
    </row>
    <row r="48" spans="1:10" x14ac:dyDescent="0.3">
      <c r="A48" s="23"/>
      <c r="B48" t="s">
        <v>179</v>
      </c>
      <c r="C48">
        <v>1</v>
      </c>
      <c r="H48" s="26">
        <v>100</v>
      </c>
      <c r="I48" s="26">
        <f>H48*D48</f>
        <v>0</v>
      </c>
      <c r="J48" t="s">
        <v>177</v>
      </c>
    </row>
    <row r="49" spans="1:10" x14ac:dyDescent="0.3">
      <c r="B49" t="s">
        <v>86</v>
      </c>
      <c r="C49">
        <v>1</v>
      </c>
      <c r="E49">
        <f t="shared" si="1"/>
        <v>0</v>
      </c>
      <c r="F49">
        <v>90</v>
      </c>
      <c r="G49">
        <f t="shared" si="2"/>
        <v>0</v>
      </c>
      <c r="H49" s="26"/>
      <c r="I49" s="26">
        <f t="shared" si="0"/>
        <v>0</v>
      </c>
      <c r="J49" t="s">
        <v>178</v>
      </c>
    </row>
    <row r="50" spans="1:10" x14ac:dyDescent="0.3">
      <c r="B50" t="s">
        <v>87</v>
      </c>
      <c r="C50">
        <v>1</v>
      </c>
      <c r="E50">
        <f t="shared" si="1"/>
        <v>0</v>
      </c>
      <c r="F50">
        <v>117</v>
      </c>
      <c r="G50">
        <f t="shared" si="2"/>
        <v>0</v>
      </c>
      <c r="H50" s="26">
        <v>50</v>
      </c>
      <c r="I50" s="26">
        <f t="shared" si="0"/>
        <v>0</v>
      </c>
      <c r="J50" t="s">
        <v>180</v>
      </c>
    </row>
    <row r="51" spans="1:10" x14ac:dyDescent="0.3">
      <c r="B51" t="s">
        <v>88</v>
      </c>
      <c r="C51">
        <v>1</v>
      </c>
      <c r="E51">
        <f t="shared" si="1"/>
        <v>0</v>
      </c>
      <c r="F51">
        <v>117</v>
      </c>
      <c r="G51">
        <f t="shared" si="2"/>
        <v>0</v>
      </c>
      <c r="H51" s="26">
        <v>50</v>
      </c>
      <c r="I51" s="26">
        <f t="shared" si="0"/>
        <v>0</v>
      </c>
      <c r="J51" t="s">
        <v>180</v>
      </c>
    </row>
    <row r="52" spans="1:10" x14ac:dyDescent="0.3">
      <c r="E52">
        <f t="shared" si="1"/>
        <v>0</v>
      </c>
      <c r="G52">
        <f t="shared" si="2"/>
        <v>0</v>
      </c>
      <c r="H52" s="26"/>
      <c r="I52" s="26">
        <f t="shared" si="0"/>
        <v>0</v>
      </c>
    </row>
    <row r="53" spans="1:10" x14ac:dyDescent="0.3">
      <c r="A53" s="23" t="s">
        <v>89</v>
      </c>
      <c r="E53">
        <f t="shared" si="1"/>
        <v>0</v>
      </c>
      <c r="G53">
        <f t="shared" si="2"/>
        <v>0</v>
      </c>
      <c r="I53" s="26"/>
    </row>
    <row r="54" spans="1:10" x14ac:dyDescent="0.3">
      <c r="B54" t="s">
        <v>98</v>
      </c>
      <c r="E54">
        <f t="shared" si="1"/>
        <v>0</v>
      </c>
      <c r="F54">
        <v>24</v>
      </c>
      <c r="G54">
        <f t="shared" si="2"/>
        <v>0</v>
      </c>
      <c r="H54" s="26"/>
      <c r="I54" s="26">
        <f t="shared" si="0"/>
        <v>0</v>
      </c>
      <c r="J54" t="s">
        <v>181</v>
      </c>
    </row>
    <row r="55" spans="1:10" x14ac:dyDescent="0.3">
      <c r="B55" t="s">
        <v>92</v>
      </c>
      <c r="E55">
        <f t="shared" si="1"/>
        <v>0</v>
      </c>
      <c r="F55">
        <v>61.25</v>
      </c>
      <c r="G55">
        <f t="shared" si="2"/>
        <v>0</v>
      </c>
      <c r="H55" s="26"/>
      <c r="I55" s="26">
        <f t="shared" si="0"/>
        <v>0</v>
      </c>
      <c r="J55" t="s">
        <v>181</v>
      </c>
    </row>
    <row r="56" spans="1:10" x14ac:dyDescent="0.3">
      <c r="B56" t="s">
        <v>93</v>
      </c>
      <c r="E56">
        <f t="shared" si="1"/>
        <v>0</v>
      </c>
      <c r="F56">
        <v>63</v>
      </c>
      <c r="G56">
        <f t="shared" si="2"/>
        <v>0</v>
      </c>
      <c r="H56" s="26"/>
      <c r="I56" s="26">
        <f t="shared" si="0"/>
        <v>0</v>
      </c>
      <c r="J56" t="s">
        <v>181</v>
      </c>
    </row>
    <row r="57" spans="1:10" x14ac:dyDescent="0.3">
      <c r="B57" t="s">
        <v>94</v>
      </c>
      <c r="E57">
        <f t="shared" si="1"/>
        <v>0</v>
      </c>
      <c r="F57">
        <v>63</v>
      </c>
      <c r="G57">
        <f t="shared" si="2"/>
        <v>0</v>
      </c>
      <c r="H57" s="26"/>
      <c r="I57" s="26">
        <f t="shared" si="0"/>
        <v>0</v>
      </c>
      <c r="J57" t="s">
        <v>181</v>
      </c>
    </row>
    <row r="58" spans="1:10" x14ac:dyDescent="0.3">
      <c r="B58" t="s">
        <v>95</v>
      </c>
      <c r="E58">
        <f t="shared" si="1"/>
        <v>0</v>
      </c>
      <c r="F58">
        <v>142</v>
      </c>
      <c r="G58">
        <f t="shared" si="2"/>
        <v>0</v>
      </c>
      <c r="H58" s="26"/>
      <c r="I58" s="26">
        <f t="shared" si="0"/>
        <v>0</v>
      </c>
      <c r="J58" t="s">
        <v>181</v>
      </c>
    </row>
    <row r="59" spans="1:10" x14ac:dyDescent="0.3">
      <c r="B59" t="s">
        <v>96</v>
      </c>
      <c r="E59">
        <f t="shared" si="1"/>
        <v>0</v>
      </c>
      <c r="F59">
        <v>142</v>
      </c>
      <c r="G59">
        <f t="shared" si="2"/>
        <v>0</v>
      </c>
      <c r="H59" s="26"/>
      <c r="I59" s="26">
        <f t="shared" si="0"/>
        <v>0</v>
      </c>
      <c r="J59" t="s">
        <v>181</v>
      </c>
    </row>
    <row r="60" spans="1:10" x14ac:dyDescent="0.3">
      <c r="B60" t="s">
        <v>97</v>
      </c>
      <c r="E60">
        <f t="shared" si="1"/>
        <v>0</v>
      </c>
      <c r="F60">
        <v>160</v>
      </c>
      <c r="G60">
        <f t="shared" si="2"/>
        <v>0</v>
      </c>
      <c r="H60" s="26"/>
      <c r="I60" s="26">
        <f t="shared" si="0"/>
        <v>0</v>
      </c>
      <c r="J60" t="s">
        <v>181</v>
      </c>
    </row>
    <row r="61" spans="1:10" x14ac:dyDescent="0.3">
      <c r="E61">
        <f t="shared" si="1"/>
        <v>0</v>
      </c>
      <c r="G61">
        <f t="shared" si="2"/>
        <v>0</v>
      </c>
      <c r="H61" s="26"/>
      <c r="I61" s="26">
        <f t="shared" si="0"/>
        <v>0</v>
      </c>
    </row>
    <row r="62" spans="1:10" x14ac:dyDescent="0.3">
      <c r="E62">
        <f t="shared" si="1"/>
        <v>0</v>
      </c>
      <c r="G62">
        <f t="shared" si="2"/>
        <v>0</v>
      </c>
      <c r="H62" s="26"/>
      <c r="I62" s="26">
        <f t="shared" si="0"/>
        <v>0</v>
      </c>
    </row>
    <row r="63" spans="1:10" x14ac:dyDescent="0.3">
      <c r="E63">
        <f t="shared" si="1"/>
        <v>0</v>
      </c>
      <c r="G63">
        <f t="shared" si="2"/>
        <v>0</v>
      </c>
      <c r="H63" s="26"/>
      <c r="I63" s="26">
        <f t="shared" si="0"/>
        <v>0</v>
      </c>
    </row>
    <row r="64" spans="1:10" x14ac:dyDescent="0.3">
      <c r="A64" s="23" t="s">
        <v>77</v>
      </c>
      <c r="E64">
        <f t="shared" si="1"/>
        <v>0</v>
      </c>
      <c r="G64">
        <f t="shared" si="2"/>
        <v>0</v>
      </c>
      <c r="I64" s="26">
        <f t="shared" si="0"/>
        <v>0</v>
      </c>
    </row>
    <row r="65" spans="1:10" x14ac:dyDescent="0.3">
      <c r="B65" t="s">
        <v>84</v>
      </c>
      <c r="E65">
        <f t="shared" si="1"/>
        <v>0</v>
      </c>
      <c r="F65">
        <v>72</v>
      </c>
      <c r="G65">
        <f t="shared" si="2"/>
        <v>0</v>
      </c>
      <c r="H65" s="26">
        <v>134</v>
      </c>
      <c r="I65" s="26">
        <f t="shared" si="0"/>
        <v>0</v>
      </c>
      <c r="J65" t="s">
        <v>182</v>
      </c>
    </row>
    <row r="66" spans="1:10" x14ac:dyDescent="0.3">
      <c r="B66" t="s">
        <v>113</v>
      </c>
      <c r="E66">
        <f t="shared" si="1"/>
        <v>0</v>
      </c>
      <c r="F66">
        <v>133</v>
      </c>
      <c r="G66">
        <f t="shared" si="2"/>
        <v>0</v>
      </c>
      <c r="H66" s="26"/>
      <c r="I66" s="26">
        <f t="shared" si="0"/>
        <v>0</v>
      </c>
      <c r="J66" t="s">
        <v>183</v>
      </c>
    </row>
    <row r="67" spans="1:10" x14ac:dyDescent="0.3">
      <c r="B67" t="s">
        <v>114</v>
      </c>
      <c r="F67">
        <v>133</v>
      </c>
      <c r="G67">
        <f t="shared" si="2"/>
        <v>0</v>
      </c>
      <c r="H67" s="26">
        <v>10</v>
      </c>
      <c r="I67" s="26">
        <f t="shared" ref="I67:I79" si="3">H67*D67</f>
        <v>0</v>
      </c>
    </row>
    <row r="68" spans="1:10" x14ac:dyDescent="0.3">
      <c r="B68" t="s">
        <v>185</v>
      </c>
      <c r="E68">
        <f t="shared" si="1"/>
        <v>0</v>
      </c>
      <c r="F68">
        <v>135</v>
      </c>
      <c r="G68">
        <f t="shared" si="2"/>
        <v>0</v>
      </c>
      <c r="H68" s="26">
        <v>70</v>
      </c>
      <c r="I68" s="26">
        <f t="shared" si="3"/>
        <v>0</v>
      </c>
      <c r="J68" t="s">
        <v>184</v>
      </c>
    </row>
    <row r="69" spans="1:10" x14ac:dyDescent="0.3">
      <c r="B69" t="s">
        <v>186</v>
      </c>
      <c r="C69">
        <v>2</v>
      </c>
      <c r="D69">
        <v>1</v>
      </c>
      <c r="E69">
        <f t="shared" si="1"/>
        <v>2</v>
      </c>
      <c r="F69">
        <v>74</v>
      </c>
      <c r="H69" s="26">
        <v>150</v>
      </c>
      <c r="I69" s="26">
        <f t="shared" si="3"/>
        <v>150</v>
      </c>
      <c r="J69" t="s">
        <v>187</v>
      </c>
    </row>
    <row r="70" spans="1:10" x14ac:dyDescent="0.3">
      <c r="B70" t="s">
        <v>103</v>
      </c>
      <c r="E70">
        <f t="shared" si="1"/>
        <v>0</v>
      </c>
      <c r="G70">
        <f t="shared" si="2"/>
        <v>0</v>
      </c>
      <c r="H70" s="26">
        <v>50</v>
      </c>
      <c r="I70" s="26">
        <f t="shared" si="3"/>
        <v>0</v>
      </c>
    </row>
    <row r="71" spans="1:10" x14ac:dyDescent="0.3">
      <c r="B71" t="s">
        <v>104</v>
      </c>
      <c r="C71">
        <v>40</v>
      </c>
      <c r="D71">
        <v>1</v>
      </c>
      <c r="E71">
        <f t="shared" si="1"/>
        <v>40</v>
      </c>
      <c r="F71">
        <v>145</v>
      </c>
      <c r="G71">
        <f t="shared" si="2"/>
        <v>5800</v>
      </c>
      <c r="H71" s="26">
        <v>150</v>
      </c>
      <c r="I71" s="26">
        <f t="shared" si="3"/>
        <v>150</v>
      </c>
    </row>
    <row r="72" spans="1:10" x14ac:dyDescent="0.3">
      <c r="E72">
        <f t="shared" si="1"/>
        <v>0</v>
      </c>
      <c r="G72">
        <f t="shared" si="2"/>
        <v>0</v>
      </c>
      <c r="H72" s="26"/>
      <c r="I72" s="26">
        <f t="shared" si="3"/>
        <v>0</v>
      </c>
    </row>
    <row r="73" spans="1:10" x14ac:dyDescent="0.3">
      <c r="A73" s="23" t="s">
        <v>116</v>
      </c>
      <c r="E73">
        <f t="shared" si="1"/>
        <v>0</v>
      </c>
      <c r="G73">
        <f t="shared" si="2"/>
        <v>0</v>
      </c>
      <c r="I73" s="26">
        <f t="shared" si="3"/>
        <v>0</v>
      </c>
    </row>
    <row r="74" spans="1:10" x14ac:dyDescent="0.3">
      <c r="B74" t="s">
        <v>117</v>
      </c>
      <c r="C74">
        <v>160</v>
      </c>
      <c r="D74">
        <v>1</v>
      </c>
      <c r="E74">
        <f t="shared" si="1"/>
        <v>160</v>
      </c>
      <c r="F74">
        <v>118</v>
      </c>
      <c r="G74">
        <f t="shared" ref="G74:G79" si="4">E74*F74</f>
        <v>18880</v>
      </c>
      <c r="H74" s="26"/>
      <c r="I74" s="26"/>
    </row>
    <row r="75" spans="1:10" x14ac:dyDescent="0.3">
      <c r="E75">
        <f>C75*D75</f>
        <v>0</v>
      </c>
      <c r="G75">
        <f t="shared" si="4"/>
        <v>0</v>
      </c>
      <c r="H75" s="26"/>
      <c r="I75" s="26">
        <f t="shared" si="3"/>
        <v>0</v>
      </c>
    </row>
    <row r="76" spans="1:10" x14ac:dyDescent="0.3">
      <c r="E76">
        <f>C76*D76</f>
        <v>0</v>
      </c>
      <c r="G76">
        <f t="shared" si="4"/>
        <v>0</v>
      </c>
      <c r="H76" s="26"/>
      <c r="I76" s="26">
        <f t="shared" si="3"/>
        <v>0</v>
      </c>
    </row>
    <row r="77" spans="1:10" x14ac:dyDescent="0.3">
      <c r="G77">
        <f t="shared" si="4"/>
        <v>0</v>
      </c>
      <c r="H77" s="26"/>
      <c r="I77" s="26">
        <f t="shared" si="3"/>
        <v>0</v>
      </c>
    </row>
    <row r="78" spans="1:10" x14ac:dyDescent="0.3">
      <c r="G78">
        <f t="shared" si="4"/>
        <v>0</v>
      </c>
      <c r="H78" s="26"/>
      <c r="I78" s="26">
        <f t="shared" si="3"/>
        <v>0</v>
      </c>
    </row>
    <row r="79" spans="1:10" x14ac:dyDescent="0.3">
      <c r="G79">
        <f t="shared" si="4"/>
        <v>0</v>
      </c>
      <c r="H79" s="26"/>
      <c r="I79" s="26">
        <f t="shared" si="3"/>
        <v>0</v>
      </c>
    </row>
    <row r="80" spans="1:10" x14ac:dyDescent="0.3">
      <c r="D80" t="s">
        <v>129</v>
      </c>
      <c r="E80">
        <f>SUM(E3:E77)</f>
        <v>1877</v>
      </c>
      <c r="G80">
        <f>SUM(G3:G77)</f>
        <v>182265</v>
      </c>
      <c r="H80" s="26"/>
      <c r="I80" s="26">
        <f>SUM(I3:I77)</f>
        <v>9388</v>
      </c>
    </row>
    <row r="82" spans="6:7" x14ac:dyDescent="0.3">
      <c r="F82" t="s">
        <v>130</v>
      </c>
      <c r="G82">
        <f>G80/E80</f>
        <v>97.104421949920081</v>
      </c>
    </row>
    <row r="84" spans="6:7" x14ac:dyDescent="0.3">
      <c r="F84" t="s">
        <v>118</v>
      </c>
      <c r="G84">
        <f>(G82-43.75)/103</f>
        <v>0.51800409660116586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FCFD-038D-46D4-B964-51148DD5CD3F}">
  <dimension ref="A1:M39"/>
  <sheetViews>
    <sheetView zoomScale="85" zoomScaleNormal="85" workbookViewId="0">
      <selection activeCell="M40" sqref="M40"/>
    </sheetView>
  </sheetViews>
  <sheetFormatPr defaultRowHeight="14.4" x14ac:dyDescent="0.3"/>
  <cols>
    <col min="2" max="2" width="53" customWidth="1"/>
  </cols>
  <sheetData>
    <row r="1" spans="1:6" x14ac:dyDescent="0.3">
      <c r="A1" t="s">
        <v>78</v>
      </c>
      <c r="E1" t="s">
        <v>145</v>
      </c>
    </row>
    <row r="2" spans="1:6" x14ac:dyDescent="0.3">
      <c r="B2" t="s">
        <v>121</v>
      </c>
      <c r="C2">
        <v>50</v>
      </c>
      <c r="D2" t="s">
        <v>120</v>
      </c>
    </row>
    <row r="3" spans="1:6" x14ac:dyDescent="0.3">
      <c r="B3" t="s">
        <v>122</v>
      </c>
      <c r="C3">
        <v>16.8</v>
      </c>
      <c r="D3" t="s">
        <v>123</v>
      </c>
    </row>
    <row r="5" spans="1:6" x14ac:dyDescent="0.3">
      <c r="A5" t="s">
        <v>149</v>
      </c>
    </row>
    <row r="6" spans="1:6" x14ac:dyDescent="0.3">
      <c r="B6" t="s">
        <v>124</v>
      </c>
      <c r="C6">
        <v>402</v>
      </c>
      <c r="D6" t="s">
        <v>126</v>
      </c>
    </row>
    <row r="7" spans="1:6" x14ac:dyDescent="0.3">
      <c r="B7" t="s">
        <v>157</v>
      </c>
      <c r="C7">
        <v>341</v>
      </c>
      <c r="D7" t="s">
        <v>126</v>
      </c>
    </row>
    <row r="8" spans="1:6" x14ac:dyDescent="0.3">
      <c r="B8" t="s">
        <v>158</v>
      </c>
      <c r="C8">
        <v>271</v>
      </c>
      <c r="D8" t="s">
        <v>126</v>
      </c>
    </row>
    <row r="9" spans="1:6" x14ac:dyDescent="0.3">
      <c r="B9" t="s">
        <v>159</v>
      </c>
      <c r="C9">
        <v>297</v>
      </c>
      <c r="D9" t="s">
        <v>126</v>
      </c>
    </row>
    <row r="10" spans="1:6" x14ac:dyDescent="0.3">
      <c r="B10" t="s">
        <v>156</v>
      </c>
      <c r="C10">
        <v>273</v>
      </c>
      <c r="D10" t="s">
        <v>126</v>
      </c>
    </row>
    <row r="11" spans="1:6" x14ac:dyDescent="0.3">
      <c r="A11" t="s">
        <v>148</v>
      </c>
    </row>
    <row r="12" spans="1:6" x14ac:dyDescent="0.3">
      <c r="B12" t="s">
        <v>127</v>
      </c>
      <c r="C12">
        <v>262.5</v>
      </c>
      <c r="D12" t="s">
        <v>125</v>
      </c>
      <c r="E12" t="s">
        <v>147</v>
      </c>
      <c r="F12" t="s">
        <v>144</v>
      </c>
    </row>
    <row r="13" spans="1:6" x14ac:dyDescent="0.3">
      <c r="B13" t="s">
        <v>141</v>
      </c>
      <c r="C13">
        <v>213.96</v>
      </c>
      <c r="D13" t="s">
        <v>125</v>
      </c>
      <c r="E13" t="s">
        <v>146</v>
      </c>
      <c r="F13" t="s">
        <v>140</v>
      </c>
    </row>
    <row r="14" spans="1:6" x14ac:dyDescent="0.3">
      <c r="B14" s="25" t="s">
        <v>143</v>
      </c>
      <c r="C14">
        <v>285</v>
      </c>
      <c r="D14" t="s">
        <v>125</v>
      </c>
      <c r="E14" t="s">
        <v>146</v>
      </c>
      <c r="F14" t="s">
        <v>142</v>
      </c>
    </row>
    <row r="15" spans="1:6" x14ac:dyDescent="0.3">
      <c r="B15" s="25"/>
    </row>
    <row r="16" spans="1:6" x14ac:dyDescent="0.3">
      <c r="B16" t="s">
        <v>131</v>
      </c>
      <c r="C16">
        <v>1000</v>
      </c>
      <c r="D16" t="s">
        <v>128</v>
      </c>
    </row>
    <row r="17" spans="2:3" x14ac:dyDescent="0.3">
      <c r="B17" t="s">
        <v>132</v>
      </c>
      <c r="C17">
        <v>650</v>
      </c>
    </row>
    <row r="18" spans="2:3" x14ac:dyDescent="0.3">
      <c r="B18" t="s">
        <v>150</v>
      </c>
    </row>
    <row r="19" spans="2:3" x14ac:dyDescent="0.3">
      <c r="B19" t="s">
        <v>151</v>
      </c>
    </row>
    <row r="20" spans="2:3" x14ac:dyDescent="0.3">
      <c r="B20" t="s">
        <v>155</v>
      </c>
      <c r="C20">
        <v>750</v>
      </c>
    </row>
    <row r="22" spans="2:3" x14ac:dyDescent="0.3">
      <c r="B22" t="s">
        <v>137</v>
      </c>
      <c r="C22">
        <v>1000</v>
      </c>
    </row>
    <row r="23" spans="2:3" x14ac:dyDescent="0.3">
      <c r="B23" t="s">
        <v>138</v>
      </c>
      <c r="C23">
        <v>390</v>
      </c>
    </row>
    <row r="35" spans="12:13" x14ac:dyDescent="0.3">
      <c r="L35">
        <v>12000</v>
      </c>
      <c r="M35" t="s">
        <v>188</v>
      </c>
    </row>
    <row r="36" spans="12:13" x14ac:dyDescent="0.3">
      <c r="L36">
        <f>L35/144</f>
        <v>83.333333333333329</v>
      </c>
      <c r="M36" t="s">
        <v>189</v>
      </c>
    </row>
    <row r="37" spans="12:13" x14ac:dyDescent="0.3">
      <c r="L37">
        <v>4</v>
      </c>
      <c r="M37" t="s">
        <v>190</v>
      </c>
    </row>
    <row r="38" spans="12:13" x14ac:dyDescent="0.3">
      <c r="L38">
        <f>L36*L37</f>
        <v>333.33333333333331</v>
      </c>
      <c r="M38" t="s">
        <v>192</v>
      </c>
    </row>
    <row r="39" spans="12:13" x14ac:dyDescent="0.3">
      <c r="L39">
        <f>L38*7.5</f>
        <v>2500</v>
      </c>
      <c r="M39" t="s">
        <v>191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D221-5A26-4991-A427-D59EE6C7B46A}">
  <dimension ref="A2:D2"/>
  <sheetViews>
    <sheetView workbookViewId="0">
      <selection activeCell="A10" sqref="A10"/>
    </sheetView>
  </sheetViews>
  <sheetFormatPr defaultRowHeight="14.4" x14ac:dyDescent="0.3"/>
  <sheetData>
    <row r="2" spans="1:4" x14ac:dyDescent="0.3">
      <c r="A2" s="23" t="s">
        <v>152</v>
      </c>
      <c r="B2" t="s">
        <v>153</v>
      </c>
      <c r="D2" t="s">
        <v>154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4B1-47B1-4E4D-B397-C478CDA9A65F}">
  <dimension ref="B2:G20"/>
  <sheetViews>
    <sheetView zoomScale="85" zoomScaleNormal="85" workbookViewId="0">
      <selection activeCell="J12" sqref="J12"/>
    </sheetView>
  </sheetViews>
  <sheetFormatPr defaultRowHeight="14.4" x14ac:dyDescent="0.3"/>
  <cols>
    <col min="2" max="2" width="19.109375" customWidth="1"/>
  </cols>
  <sheetData>
    <row r="2" spans="2:7" x14ac:dyDescent="0.3">
      <c r="B2" t="s">
        <v>21</v>
      </c>
      <c r="C2" s="3">
        <v>275</v>
      </c>
      <c r="D2" t="s">
        <v>8</v>
      </c>
      <c r="E2" s="3">
        <v>6000</v>
      </c>
      <c r="F2" t="s">
        <v>27</v>
      </c>
    </row>
    <row r="3" spans="2:7" x14ac:dyDescent="0.3">
      <c r="B3" t="s">
        <v>134</v>
      </c>
      <c r="C3" s="3">
        <v>277</v>
      </c>
      <c r="D3" t="s">
        <v>135</v>
      </c>
      <c r="E3" s="3">
        <v>3600</v>
      </c>
      <c r="F3" t="s">
        <v>27</v>
      </c>
    </row>
    <row r="4" spans="2:7" x14ac:dyDescent="0.3">
      <c r="B4" t="s">
        <v>19</v>
      </c>
      <c r="C4" s="3">
        <v>0.8</v>
      </c>
      <c r="D4" t="s">
        <v>20</v>
      </c>
    </row>
    <row r="5" spans="2:7" x14ac:dyDescent="0.3">
      <c r="B5" t="s">
        <v>22</v>
      </c>
      <c r="C5" s="3">
        <f>C2*C4</f>
        <v>220</v>
      </c>
      <c r="D5" t="s">
        <v>8</v>
      </c>
    </row>
    <row r="6" spans="2:7" x14ac:dyDescent="0.3">
      <c r="B6" t="s">
        <v>22</v>
      </c>
      <c r="C6">
        <f>C5*745.7</f>
        <v>164054</v>
      </c>
      <c r="D6" t="s">
        <v>9</v>
      </c>
    </row>
    <row r="7" spans="2:7" x14ac:dyDescent="0.3">
      <c r="B7" t="s">
        <v>133</v>
      </c>
      <c r="C7" s="3">
        <v>2000</v>
      </c>
      <c r="D7" t="s">
        <v>11</v>
      </c>
      <c r="G7" t="s">
        <v>13</v>
      </c>
    </row>
    <row r="8" spans="2:7" x14ac:dyDescent="0.3">
      <c r="B8" t="s">
        <v>10</v>
      </c>
      <c r="C8">
        <f>C7/2.2046</f>
        <v>907.19404880703974</v>
      </c>
      <c r="D8" t="s">
        <v>12</v>
      </c>
    </row>
    <row r="9" spans="2:7" x14ac:dyDescent="0.3">
      <c r="B9" t="s">
        <v>23</v>
      </c>
      <c r="C9">
        <f>C2/C7</f>
        <v>0.13750000000000001</v>
      </c>
      <c r="D9" t="s">
        <v>24</v>
      </c>
    </row>
    <row r="10" spans="2:7" x14ac:dyDescent="0.3">
      <c r="B10" t="s">
        <v>25</v>
      </c>
      <c r="C10">
        <f>C7/C2</f>
        <v>7.2727272727272725</v>
      </c>
      <c r="D10" t="s">
        <v>26</v>
      </c>
    </row>
    <row r="12" spans="2:7" x14ac:dyDescent="0.3">
      <c r="B12" s="1" t="s">
        <v>17</v>
      </c>
      <c r="C12" s="1"/>
      <c r="D12" s="1"/>
    </row>
    <row r="13" spans="2:7" x14ac:dyDescent="0.3">
      <c r="B13" s="2" t="s">
        <v>16</v>
      </c>
      <c r="C13" s="17">
        <f>SQRT((C6*2)/$C$8)</f>
        <v>19.017714068730765</v>
      </c>
      <c r="D13" s="2" t="s">
        <v>14</v>
      </c>
    </row>
    <row r="14" spans="2:7" x14ac:dyDescent="0.3">
      <c r="B14" s="2" t="s">
        <v>16</v>
      </c>
      <c r="C14" s="17">
        <f>C13*2.236</f>
        <v>42.523608657681997</v>
      </c>
      <c r="D14" s="2" t="s">
        <v>15</v>
      </c>
    </row>
    <row r="16" spans="2:7" x14ac:dyDescent="0.3">
      <c r="B16" t="s">
        <v>55</v>
      </c>
      <c r="C16" s="4">
        <f>60/C14</f>
        <v>1.4109809090522907</v>
      </c>
      <c r="D16" t="s">
        <v>18</v>
      </c>
    </row>
    <row r="20" spans="2:2" x14ac:dyDescent="0.3">
      <c r="B20" s="23" t="s">
        <v>136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A3B4-48A4-4AB2-8270-75F99169D30D}">
  <dimension ref="A1:U75"/>
  <sheetViews>
    <sheetView zoomScale="85" zoomScaleNormal="85" workbookViewId="0">
      <selection activeCell="S29" sqref="S29"/>
    </sheetView>
  </sheetViews>
  <sheetFormatPr defaultRowHeight="14.4" x14ac:dyDescent="0.3"/>
  <cols>
    <col min="5" max="5" width="10" bestFit="1" customWidth="1"/>
    <col min="6" max="6" width="13.6640625" bestFit="1" customWidth="1"/>
    <col min="7" max="7" width="13.6640625" customWidth="1"/>
    <col min="8" max="8" width="11.44140625" bestFit="1" customWidth="1"/>
    <col min="9" max="9" width="22" bestFit="1" customWidth="1"/>
    <col min="10" max="10" width="22" customWidth="1"/>
    <col min="11" max="11" width="18.109375" bestFit="1" customWidth="1"/>
    <col min="12" max="16" width="12.33203125" customWidth="1"/>
    <col min="19" max="19" width="15.6640625" bestFit="1" customWidth="1"/>
  </cols>
  <sheetData>
    <row r="1" spans="1:21" x14ac:dyDescent="0.3">
      <c r="T1" t="s">
        <v>35</v>
      </c>
      <c r="U1" t="s">
        <v>27</v>
      </c>
    </row>
    <row r="2" spans="1:21" x14ac:dyDescent="0.3">
      <c r="A2" s="1"/>
      <c r="B2" s="1" t="s">
        <v>27</v>
      </c>
      <c r="C2" s="1" t="s">
        <v>28</v>
      </c>
      <c r="D2" s="1" t="s">
        <v>29</v>
      </c>
      <c r="E2" s="1" t="s">
        <v>32</v>
      </c>
      <c r="F2" s="1" t="s">
        <v>33</v>
      </c>
      <c r="G2" s="1" t="s">
        <v>36</v>
      </c>
      <c r="H2" s="1" t="s">
        <v>34</v>
      </c>
      <c r="I2" s="1" t="s">
        <v>37</v>
      </c>
      <c r="J2" s="1" t="s">
        <v>38</v>
      </c>
      <c r="K2" s="8" t="s">
        <v>47</v>
      </c>
      <c r="L2" s="1" t="s">
        <v>39</v>
      </c>
      <c r="M2" s="1" t="s">
        <v>40</v>
      </c>
      <c r="N2" s="1" t="s">
        <v>41</v>
      </c>
      <c r="O2" s="1" t="s">
        <v>43</v>
      </c>
      <c r="P2" s="1" t="s">
        <v>44</v>
      </c>
      <c r="S2" t="s">
        <v>31</v>
      </c>
      <c r="T2">
        <f>'Acceleration Inputs'!C2</f>
        <v>275</v>
      </c>
      <c r="U2">
        <f>'Acceleration Inputs'!E2</f>
        <v>6000</v>
      </c>
    </row>
    <row r="3" spans="1:21" x14ac:dyDescent="0.3">
      <c r="A3" s="2"/>
      <c r="B3" s="2">
        <v>0</v>
      </c>
      <c r="C3" s="6">
        <f>B3/60</f>
        <v>0</v>
      </c>
      <c r="D3" s="6">
        <f>C3*2*3.14</f>
        <v>0</v>
      </c>
      <c r="E3" s="2">
        <v>0</v>
      </c>
      <c r="F3" s="2">
        <v>0</v>
      </c>
      <c r="G3" s="7">
        <f>E3*745.7</f>
        <v>0</v>
      </c>
      <c r="H3" s="2"/>
      <c r="I3" s="2"/>
      <c r="J3" s="2"/>
      <c r="L3" s="2"/>
      <c r="M3" s="2"/>
      <c r="N3" s="2"/>
      <c r="O3" s="2"/>
      <c r="P3" s="2"/>
      <c r="S3" t="s">
        <v>30</v>
      </c>
      <c r="T3">
        <f>'Acceleration Inputs'!C3</f>
        <v>277</v>
      </c>
      <c r="U3">
        <f>'Acceleration Inputs'!E3</f>
        <v>3600</v>
      </c>
    </row>
    <row r="4" spans="1:21" x14ac:dyDescent="0.3">
      <c r="A4" s="2">
        <v>1</v>
      </c>
      <c r="B4" s="2">
        <v>100</v>
      </c>
      <c r="C4" s="6">
        <f t="shared" ref="C4:C66" si="0">B4/60</f>
        <v>1.6666666666666667</v>
      </c>
      <c r="D4" s="6">
        <f t="shared" ref="D4:D66" si="1">C4*2*3.14</f>
        <v>10.466666666666667</v>
      </c>
      <c r="E4" s="6">
        <f t="shared" ref="E4:E35" si="2">(B4/$B$63)*$T$2</f>
        <v>4.583333333333333</v>
      </c>
      <c r="F4" s="6">
        <f>E4*550</f>
        <v>2520.833333333333</v>
      </c>
      <c r="G4" s="7">
        <f t="shared" ref="G4:G66" si="3">E4*745.7</f>
        <v>3417.7916666666665</v>
      </c>
      <c r="H4" s="6">
        <f t="shared" ref="H4:H35" si="4">F4/D4</f>
        <v>240.84394904458597</v>
      </c>
      <c r="I4" s="6">
        <f>SQRT((G4*2)/'Acceleration Inputs'!$C$8)</f>
        <v>2.7449705842382599</v>
      </c>
      <c r="J4" s="6">
        <f>I4*2.236</f>
        <v>6.1377542263567495</v>
      </c>
      <c r="K4" s="5">
        <f>AVERAGE($J$4:J4)</f>
        <v>6.1377542263567495</v>
      </c>
      <c r="L4" s="6">
        <f>(60*B4/'AR5 Gear Ratios'!$D$2)*(('AR5 Gear Ratios'!$B$12*3.14)/63360)</f>
        <v>0.55840091051358653</v>
      </c>
      <c r="M4" s="6">
        <f>(60*B4/'AR5 Gear Ratios'!$D$3)*(('AR5 Gear Ratios'!$B$12*3.14)/63360)</f>
        <v>0.92655018337431394</v>
      </c>
      <c r="N4" s="6">
        <f>(60*B4/'AR5 Gear Ratios'!$D$4)*(('AR5 Gear Ratios'!$B$12*3.14)/63360)</f>
        <v>1.5284696455663864</v>
      </c>
      <c r="O4" s="6">
        <f>(60*B4/'AR5 Gear Ratios'!$D$5)*(('AR5 Gear Ratios'!$B$12*3.14)/63360)</f>
        <v>2.0940034144259494</v>
      </c>
      <c r="P4" s="6">
        <f>(60*B4/'AR5 Gear Ratios'!$D$6)*(('AR5 Gear Ratios'!$B$12*3.14)/63360)</f>
        <v>2.8684978279807529</v>
      </c>
    </row>
    <row r="5" spans="1:21" x14ac:dyDescent="0.3">
      <c r="A5" s="2">
        <v>2</v>
      </c>
      <c r="B5" s="2">
        <v>200</v>
      </c>
      <c r="C5" s="6">
        <f t="shared" si="0"/>
        <v>3.3333333333333335</v>
      </c>
      <c r="D5" s="6">
        <f t="shared" si="1"/>
        <v>20.933333333333334</v>
      </c>
      <c r="E5" s="6">
        <f t="shared" si="2"/>
        <v>9.1666666666666661</v>
      </c>
      <c r="F5" s="6">
        <f t="shared" ref="F5:F66" si="5">E5*550</f>
        <v>5041.6666666666661</v>
      </c>
      <c r="G5" s="7">
        <f t="shared" si="3"/>
        <v>6835.583333333333</v>
      </c>
      <c r="H5" s="6">
        <f t="shared" si="4"/>
        <v>240.84394904458597</v>
      </c>
      <c r="I5" s="6">
        <f>SQRT((G5*2)/'Acceleration Inputs'!$C$8)</f>
        <v>3.8819746285449455</v>
      </c>
      <c r="J5" s="6">
        <f t="shared" ref="J5:J66" si="6">I5*2.236</f>
        <v>8.6800952694264986</v>
      </c>
      <c r="K5" s="5">
        <f>AVERAGE($J$4:J5)</f>
        <v>7.408924747891624</v>
      </c>
      <c r="L5" s="6">
        <f>(60*B5/'AR5 Gear Ratios'!$D$2)*(('AR5 Gear Ratios'!$B$12*3.14)/63360)</f>
        <v>1.1168018210271731</v>
      </c>
      <c r="M5" s="6">
        <f>(60*B5/'AR5 Gear Ratios'!$D$3)*(('AR5 Gear Ratios'!$B$12*3.14)/63360)</f>
        <v>1.8531003667486279</v>
      </c>
      <c r="N5" s="6">
        <f>(60*B5/'AR5 Gear Ratios'!$D$4)*(('AR5 Gear Ratios'!$B$12*3.14)/63360)</f>
        <v>3.0569392911327729</v>
      </c>
      <c r="O5" s="6">
        <f>(60*B5/'AR5 Gear Ratios'!$D$5)*(('AR5 Gear Ratios'!$B$12*3.14)/63360)</f>
        <v>4.1880068288518988</v>
      </c>
      <c r="P5" s="6">
        <f>(60*B5/'AR5 Gear Ratios'!$D$6)*(('AR5 Gear Ratios'!$B$12*3.14)/63360)</f>
        <v>5.7369956559615058</v>
      </c>
    </row>
    <row r="6" spans="1:21" x14ac:dyDescent="0.3">
      <c r="A6" s="2">
        <v>3</v>
      </c>
      <c r="B6" s="2">
        <v>300</v>
      </c>
      <c r="C6" s="6">
        <f t="shared" si="0"/>
        <v>5</v>
      </c>
      <c r="D6" s="6">
        <f t="shared" si="1"/>
        <v>31.400000000000002</v>
      </c>
      <c r="E6" s="6">
        <f t="shared" si="2"/>
        <v>13.75</v>
      </c>
      <c r="F6" s="6">
        <f t="shared" si="5"/>
        <v>7562.5</v>
      </c>
      <c r="G6" s="7">
        <f t="shared" si="3"/>
        <v>10253.375</v>
      </c>
      <c r="H6" s="6">
        <f t="shared" si="4"/>
        <v>240.84394904458597</v>
      </c>
      <c r="I6" s="6">
        <f>SQRT((G6*2)/'Acceleration Inputs'!$C$8)</f>
        <v>4.7544285171826912</v>
      </c>
      <c r="J6" s="6">
        <f t="shared" si="6"/>
        <v>10.630902164420499</v>
      </c>
      <c r="K6" s="5">
        <f>AVERAGE($J$4:J6)</f>
        <v>8.4829172200679164</v>
      </c>
      <c r="L6" s="6">
        <f>(60*B6/'AR5 Gear Ratios'!$D$2)*(('AR5 Gear Ratios'!$B$12*3.14)/63360)</f>
        <v>1.6752027315407596</v>
      </c>
      <c r="M6" s="6">
        <f>(60*B6/'AR5 Gear Ratios'!$D$3)*(('AR5 Gear Ratios'!$B$12*3.14)/63360)</f>
        <v>2.779650550122942</v>
      </c>
      <c r="N6" s="6">
        <f>(60*B6/'AR5 Gear Ratios'!$D$4)*(('AR5 Gear Ratios'!$B$12*3.14)/63360)</f>
        <v>4.5854089366991593</v>
      </c>
      <c r="O6" s="6">
        <f>(60*B6/'AR5 Gear Ratios'!$D$5)*(('AR5 Gear Ratios'!$B$12*3.14)/63360)</f>
        <v>6.2820102432778491</v>
      </c>
      <c r="P6" s="6">
        <f>(60*B6/'AR5 Gear Ratios'!$D$6)*(('AR5 Gear Ratios'!$B$12*3.14)/63360)</f>
        <v>8.6054934839422597</v>
      </c>
    </row>
    <row r="7" spans="1:21" x14ac:dyDescent="0.3">
      <c r="A7" s="2">
        <v>4</v>
      </c>
      <c r="B7" s="2">
        <v>400</v>
      </c>
      <c r="C7" s="6">
        <f t="shared" si="0"/>
        <v>6.666666666666667</v>
      </c>
      <c r="D7" s="6">
        <f t="shared" si="1"/>
        <v>41.866666666666667</v>
      </c>
      <c r="E7" s="6">
        <f t="shared" si="2"/>
        <v>18.333333333333332</v>
      </c>
      <c r="F7" s="6">
        <f t="shared" si="5"/>
        <v>10083.333333333332</v>
      </c>
      <c r="G7" s="7">
        <f t="shared" si="3"/>
        <v>13671.166666666666</v>
      </c>
      <c r="H7" s="6">
        <f t="shared" si="4"/>
        <v>240.84394904458597</v>
      </c>
      <c r="I7" s="6">
        <f>SQRT((G7*2)/'Acceleration Inputs'!$C$8)</f>
        <v>5.4899411684765198</v>
      </c>
      <c r="J7" s="6">
        <f t="shared" si="6"/>
        <v>12.275508452713499</v>
      </c>
      <c r="K7" s="5">
        <f>AVERAGE($J$4:J7)</f>
        <v>9.4310650282293125</v>
      </c>
      <c r="L7" s="6">
        <f>(60*B7/'AR5 Gear Ratios'!$D$2)*(('AR5 Gear Ratios'!$B$12*3.14)/63360)</f>
        <v>2.2336036420543461</v>
      </c>
      <c r="M7" s="6">
        <f>(60*B7/'AR5 Gear Ratios'!$D$3)*(('AR5 Gear Ratios'!$B$12*3.14)/63360)</f>
        <v>3.7062007334972558</v>
      </c>
      <c r="N7" s="6">
        <f>(60*B7/'AR5 Gear Ratios'!$D$4)*(('AR5 Gear Ratios'!$B$12*3.14)/63360)</f>
        <v>6.1138785822655457</v>
      </c>
      <c r="O7" s="6">
        <f>(60*B7/'AR5 Gear Ratios'!$D$5)*(('AR5 Gear Ratios'!$B$12*3.14)/63360)</f>
        <v>8.3760136577037976</v>
      </c>
      <c r="P7" s="6">
        <f>(60*B7/'AR5 Gear Ratios'!$D$6)*(('AR5 Gear Ratios'!$B$12*3.14)/63360)</f>
        <v>11.473991311923012</v>
      </c>
    </row>
    <row r="8" spans="1:21" x14ac:dyDescent="0.3">
      <c r="A8" s="2">
        <v>5</v>
      </c>
      <c r="B8" s="2">
        <v>500</v>
      </c>
      <c r="C8" s="6">
        <f t="shared" si="0"/>
        <v>8.3333333333333339</v>
      </c>
      <c r="D8" s="6">
        <f t="shared" si="1"/>
        <v>52.333333333333336</v>
      </c>
      <c r="E8" s="6">
        <f t="shared" si="2"/>
        <v>22.916666666666664</v>
      </c>
      <c r="F8" s="6">
        <f t="shared" si="5"/>
        <v>12604.166666666666</v>
      </c>
      <c r="G8" s="7">
        <f t="shared" si="3"/>
        <v>17088.958333333332</v>
      </c>
      <c r="H8" s="6">
        <f t="shared" si="4"/>
        <v>240.84394904458597</v>
      </c>
      <c r="I8" s="6">
        <f>SQRT((G8*2)/'Acceleration Inputs'!$C$8)</f>
        <v>6.1379408225940617</v>
      </c>
      <c r="J8" s="6">
        <f t="shared" si="6"/>
        <v>13.724435679320322</v>
      </c>
      <c r="K8" s="5">
        <f>AVERAGE($J$4:J8)</f>
        <v>10.289739158447514</v>
      </c>
      <c r="L8" s="6">
        <f>(60*B8/'AR5 Gear Ratios'!$D$2)*(('AR5 Gear Ratios'!$B$12*3.14)/63360)</f>
        <v>2.7920045525679327</v>
      </c>
      <c r="M8" s="6">
        <f>(60*B8/'AR5 Gear Ratios'!$D$3)*(('AR5 Gear Ratios'!$B$12*3.14)/63360)</f>
        <v>4.6327509168715695</v>
      </c>
      <c r="N8" s="6">
        <f>(60*B8/'AR5 Gear Ratios'!$D$4)*(('AR5 Gear Ratios'!$B$12*3.14)/63360)</f>
        <v>7.6423482278319321</v>
      </c>
      <c r="O8" s="6">
        <f>(60*B8/'AR5 Gear Ratios'!$D$5)*(('AR5 Gear Ratios'!$B$12*3.14)/63360)</f>
        <v>10.47001707212975</v>
      </c>
      <c r="P8" s="6">
        <f>(60*B8/'AR5 Gear Ratios'!$D$6)*(('AR5 Gear Ratios'!$B$12*3.14)/63360)</f>
        <v>14.342489139903764</v>
      </c>
    </row>
    <row r="9" spans="1:21" x14ac:dyDescent="0.3">
      <c r="A9" s="2">
        <v>6</v>
      </c>
      <c r="B9" s="2">
        <v>600</v>
      </c>
      <c r="C9" s="6">
        <f t="shared" si="0"/>
        <v>10</v>
      </c>
      <c r="D9" s="6">
        <f t="shared" si="1"/>
        <v>62.800000000000004</v>
      </c>
      <c r="E9" s="6">
        <f t="shared" si="2"/>
        <v>27.5</v>
      </c>
      <c r="F9" s="6">
        <f t="shared" si="5"/>
        <v>15125</v>
      </c>
      <c r="G9" s="7">
        <f t="shared" si="3"/>
        <v>20506.75</v>
      </c>
      <c r="H9" s="6">
        <f t="shared" si="4"/>
        <v>240.84394904458597</v>
      </c>
      <c r="I9" s="6">
        <f>SQRT((G9*2)/'Acceleration Inputs'!$C$8)</f>
        <v>6.7237772903331656</v>
      </c>
      <c r="J9" s="6">
        <f t="shared" si="6"/>
        <v>15.03436602118496</v>
      </c>
      <c r="K9" s="5">
        <f>AVERAGE($J$4:J9)</f>
        <v>11.080510302237089</v>
      </c>
      <c r="L9" s="6">
        <f>(60*B9/'AR5 Gear Ratios'!$D$2)*(('AR5 Gear Ratios'!$B$12*3.14)/63360)</f>
        <v>3.3504054630815192</v>
      </c>
      <c r="M9" s="6">
        <f>(60*B9/'AR5 Gear Ratios'!$D$3)*(('AR5 Gear Ratios'!$B$12*3.14)/63360)</f>
        <v>5.5593011002458841</v>
      </c>
      <c r="N9" s="6">
        <f>(60*B9/'AR5 Gear Ratios'!$D$4)*(('AR5 Gear Ratios'!$B$12*3.14)/63360)</f>
        <v>9.1708178733983186</v>
      </c>
      <c r="O9" s="6">
        <f>(60*B9/'AR5 Gear Ratios'!$D$5)*(('AR5 Gear Ratios'!$B$12*3.14)/63360)</f>
        <v>12.564020486555698</v>
      </c>
      <c r="P9" s="6">
        <f>(60*B9/'AR5 Gear Ratios'!$D$6)*(('AR5 Gear Ratios'!$B$12*3.14)/63360)</f>
        <v>17.210986967884519</v>
      </c>
    </row>
    <row r="10" spans="1:21" x14ac:dyDescent="0.3">
      <c r="A10" s="2">
        <v>7</v>
      </c>
      <c r="B10" s="2">
        <v>700</v>
      </c>
      <c r="C10" s="6">
        <f t="shared" si="0"/>
        <v>11.666666666666666</v>
      </c>
      <c r="D10" s="6">
        <f t="shared" si="1"/>
        <v>73.266666666666666</v>
      </c>
      <c r="E10" s="6">
        <f t="shared" si="2"/>
        <v>32.083333333333336</v>
      </c>
      <c r="F10" s="6">
        <f t="shared" si="5"/>
        <v>17645.833333333336</v>
      </c>
      <c r="G10" s="7">
        <f t="shared" si="3"/>
        <v>23924.541666666672</v>
      </c>
      <c r="H10" s="6">
        <f t="shared" si="4"/>
        <v>240.84394904458603</v>
      </c>
      <c r="I10" s="6">
        <f>SQRT((G10*2)/'Acceleration Inputs'!$C$8)</f>
        <v>7.2625095220821123</v>
      </c>
      <c r="J10" s="6">
        <f t="shared" si="6"/>
        <v>16.238971291375606</v>
      </c>
      <c r="K10" s="5">
        <f>AVERAGE($J$4:J10)</f>
        <v>11.817433300685449</v>
      </c>
      <c r="L10" s="6">
        <f>(60*B10/'AR5 Gear Ratios'!$D$2)*(('AR5 Gear Ratios'!$B$12*3.14)/63360)</f>
        <v>3.9088063735951057</v>
      </c>
      <c r="M10" s="6">
        <f>(60*B10/'AR5 Gear Ratios'!$D$3)*(('AR5 Gear Ratios'!$B$12*3.14)/63360)</f>
        <v>6.4858512836201978</v>
      </c>
      <c r="N10" s="6">
        <f>(60*B10/'AR5 Gear Ratios'!$D$4)*(('AR5 Gear Ratios'!$B$12*3.14)/63360)</f>
        <v>10.699287518964706</v>
      </c>
      <c r="O10" s="6">
        <f>(60*B10/'AR5 Gear Ratios'!$D$5)*(('AR5 Gear Ratios'!$B$12*3.14)/63360)</f>
        <v>14.658023900981647</v>
      </c>
      <c r="P10" s="6">
        <f>(60*B10/'AR5 Gear Ratios'!$D$6)*(('AR5 Gear Ratios'!$B$12*3.14)/63360)</f>
        <v>20.07948479586527</v>
      </c>
    </row>
    <row r="11" spans="1:21" x14ac:dyDescent="0.3">
      <c r="A11" s="2">
        <v>8</v>
      </c>
      <c r="B11" s="2">
        <v>800</v>
      </c>
      <c r="C11" s="6">
        <f t="shared" si="0"/>
        <v>13.333333333333334</v>
      </c>
      <c r="D11" s="6">
        <f t="shared" si="1"/>
        <v>83.733333333333334</v>
      </c>
      <c r="E11" s="6">
        <f t="shared" si="2"/>
        <v>36.666666666666664</v>
      </c>
      <c r="F11" s="6">
        <f t="shared" si="5"/>
        <v>20166.666666666664</v>
      </c>
      <c r="G11" s="7">
        <f t="shared" si="3"/>
        <v>27342.333333333332</v>
      </c>
      <c r="H11" s="6">
        <f t="shared" si="4"/>
        <v>240.84394904458597</v>
      </c>
      <c r="I11" s="6">
        <f>SQRT((G11*2)/'Acceleration Inputs'!$C$8)</f>
        <v>7.7639492570898909</v>
      </c>
      <c r="J11" s="6">
        <f t="shared" si="6"/>
        <v>17.360190538852997</v>
      </c>
      <c r="K11" s="5">
        <f>AVERAGE($J$4:J11)</f>
        <v>12.510277955456392</v>
      </c>
      <c r="L11" s="6">
        <f>(60*B11/'AR5 Gear Ratios'!$D$2)*(('AR5 Gear Ratios'!$B$12*3.14)/63360)</f>
        <v>4.4672072841086923</v>
      </c>
      <c r="M11" s="6">
        <f>(60*B11/'AR5 Gear Ratios'!$D$3)*(('AR5 Gear Ratios'!$B$12*3.14)/63360)</f>
        <v>7.4124014669945115</v>
      </c>
      <c r="N11" s="6">
        <f>(60*B11/'AR5 Gear Ratios'!$D$4)*(('AR5 Gear Ratios'!$B$12*3.14)/63360)</f>
        <v>12.227757164531091</v>
      </c>
      <c r="O11" s="6">
        <f>(60*B11/'AR5 Gear Ratios'!$D$5)*(('AR5 Gear Ratios'!$B$12*3.14)/63360)</f>
        <v>16.752027315407595</v>
      </c>
      <c r="P11" s="6">
        <f>(60*B11/'AR5 Gear Ratios'!$D$6)*(('AR5 Gear Ratios'!$B$12*3.14)/63360)</f>
        <v>22.947982623846023</v>
      </c>
    </row>
    <row r="12" spans="1:21" x14ac:dyDescent="0.3">
      <c r="A12" s="2">
        <v>9</v>
      </c>
      <c r="B12" s="2">
        <v>900</v>
      </c>
      <c r="C12" s="6">
        <f>B12/60</f>
        <v>15</v>
      </c>
      <c r="D12" s="6">
        <f>C12*2*3.14</f>
        <v>94.2</v>
      </c>
      <c r="E12" s="6">
        <f t="shared" si="2"/>
        <v>41.25</v>
      </c>
      <c r="F12" s="6">
        <f>E12*550</f>
        <v>22687.5</v>
      </c>
      <c r="G12" s="7">
        <f t="shared" si="3"/>
        <v>30760.125000000004</v>
      </c>
      <c r="H12" s="6">
        <f t="shared" si="4"/>
        <v>240.84394904458597</v>
      </c>
      <c r="I12" s="6">
        <f>SQRT((G12*2)/'Acceleration Inputs'!$C$8)</f>
        <v>8.2349117527147797</v>
      </c>
      <c r="J12" s="6">
        <f t="shared" si="6"/>
        <v>18.41326267907025</v>
      </c>
      <c r="K12" s="5">
        <f>AVERAGE($J$4:J12)</f>
        <v>13.166165146969043</v>
      </c>
      <c r="L12" s="6">
        <f>(60*B12/'AR5 Gear Ratios'!$D$2)*(('AR5 Gear Ratios'!$B$12*3.14)/63360)</f>
        <v>5.0256081946222793</v>
      </c>
      <c r="M12" s="6">
        <f>(60*B12/'AR5 Gear Ratios'!$D$3)*(('AR5 Gear Ratios'!$B$12*3.14)/63360)</f>
        <v>8.3389516503688252</v>
      </c>
      <c r="N12" s="6">
        <f>(60*B12/'AR5 Gear Ratios'!$D$4)*(('AR5 Gear Ratios'!$B$12*3.14)/63360)</f>
        <v>13.756226810097479</v>
      </c>
      <c r="O12" s="6">
        <f>(60*B12/'AR5 Gear Ratios'!$D$5)*(('AR5 Gear Ratios'!$B$12*3.14)/63360)</f>
        <v>18.846030729833547</v>
      </c>
      <c r="P12" s="6">
        <f>(60*B12/'AR5 Gear Ratios'!$D$6)*(('AR5 Gear Ratios'!$B$12*3.14)/63360)</f>
        <v>25.816480451826777</v>
      </c>
    </row>
    <row r="13" spans="1:21" x14ac:dyDescent="0.3">
      <c r="A13" s="2">
        <v>10</v>
      </c>
      <c r="B13" s="2">
        <v>1000</v>
      </c>
      <c r="C13" s="6">
        <f t="shared" si="0"/>
        <v>16.666666666666668</v>
      </c>
      <c r="D13" s="6">
        <f t="shared" si="1"/>
        <v>104.66666666666667</v>
      </c>
      <c r="E13" s="6">
        <f t="shared" si="2"/>
        <v>45.833333333333329</v>
      </c>
      <c r="F13" s="6">
        <f t="shared" si="5"/>
        <v>25208.333333333332</v>
      </c>
      <c r="G13" s="7">
        <f t="shared" si="3"/>
        <v>34177.916666666664</v>
      </c>
      <c r="H13" s="6">
        <f t="shared" si="4"/>
        <v>240.84394904458597</v>
      </c>
      <c r="I13" s="6">
        <f>SQRT((G13*2)/'Acceleration Inputs'!$C$8)</f>
        <v>8.6803591563559941</v>
      </c>
      <c r="J13" s="6">
        <f t="shared" si="6"/>
        <v>19.409283073612006</v>
      </c>
      <c r="K13" s="5">
        <f>AVERAGE($J$4:J13)</f>
        <v>13.79047693963334</v>
      </c>
      <c r="L13" s="6">
        <f>(60*B13/'AR5 Gear Ratios'!$D$2)*(('AR5 Gear Ratios'!$B$12*3.14)/63360)</f>
        <v>5.5840091051358653</v>
      </c>
      <c r="M13" s="6">
        <f>(60*B13/'AR5 Gear Ratios'!$D$3)*(('AR5 Gear Ratios'!$B$12*3.14)/63360)</f>
        <v>9.265501833743139</v>
      </c>
      <c r="N13" s="6">
        <f>(60*B13/'AR5 Gear Ratios'!$D$4)*(('AR5 Gear Ratios'!$B$12*3.14)/63360)</f>
        <v>15.284696455663864</v>
      </c>
      <c r="O13" s="6">
        <f>(60*B13/'AR5 Gear Ratios'!$D$5)*(('AR5 Gear Ratios'!$B$12*3.14)/63360)</f>
        <v>20.940034144259499</v>
      </c>
      <c r="P13" s="6">
        <f>(60*B13/'AR5 Gear Ratios'!$D$6)*(('AR5 Gear Ratios'!$B$12*3.14)/63360)</f>
        <v>28.684978279807527</v>
      </c>
    </row>
    <row r="14" spans="1:21" x14ac:dyDescent="0.3">
      <c r="A14" s="2">
        <v>11</v>
      </c>
      <c r="B14" s="2">
        <v>1100</v>
      </c>
      <c r="C14" s="6">
        <f t="shared" si="0"/>
        <v>18.333333333333332</v>
      </c>
      <c r="D14" s="6">
        <f t="shared" si="1"/>
        <v>115.13333333333333</v>
      </c>
      <c r="E14" s="6">
        <f t="shared" si="2"/>
        <v>50.416666666666664</v>
      </c>
      <c r="F14" s="6">
        <f t="shared" si="5"/>
        <v>27729.166666666664</v>
      </c>
      <c r="G14" s="7">
        <f t="shared" si="3"/>
        <v>37595.708333333336</v>
      </c>
      <c r="H14" s="6">
        <f t="shared" si="4"/>
        <v>240.84394904458597</v>
      </c>
      <c r="I14" s="6">
        <f>SQRT((G14*2)/'Acceleration Inputs'!$C$8)</f>
        <v>9.1040374884809587</v>
      </c>
      <c r="J14" s="6">
        <f t="shared" si="6"/>
        <v>20.356627824243425</v>
      </c>
      <c r="K14" s="5">
        <f>AVERAGE($J$4:J14)</f>
        <v>14.387399747325164</v>
      </c>
      <c r="L14" s="6">
        <f>(60*B14/'AR5 Gear Ratios'!$D$2)*(('AR5 Gear Ratios'!$B$12*3.14)/63360)</f>
        <v>6.1424100156494523</v>
      </c>
      <c r="M14" s="6">
        <f>(60*B14/'AR5 Gear Ratios'!$D$3)*(('AR5 Gear Ratios'!$B$12*3.14)/63360)</f>
        <v>10.192052017117454</v>
      </c>
      <c r="N14" s="6">
        <f>(60*B14/'AR5 Gear Ratios'!$D$4)*(('AR5 Gear Ratios'!$B$12*3.14)/63360)</f>
        <v>16.813166101230252</v>
      </c>
      <c r="O14" s="6">
        <f>(60*B14/'AR5 Gear Ratios'!$D$5)*(('AR5 Gear Ratios'!$B$12*3.14)/63360)</f>
        <v>23.034037558685448</v>
      </c>
      <c r="P14" s="6">
        <f>(60*B14/'AR5 Gear Ratios'!$D$6)*(('AR5 Gear Ratios'!$B$12*3.14)/63360)</f>
        <v>31.553476107788285</v>
      </c>
    </row>
    <row r="15" spans="1:21" x14ac:dyDescent="0.3">
      <c r="A15" s="2">
        <v>12</v>
      </c>
      <c r="B15" s="2">
        <v>1200</v>
      </c>
      <c r="C15" s="6">
        <f t="shared" si="0"/>
        <v>20</v>
      </c>
      <c r="D15" s="6">
        <f t="shared" si="1"/>
        <v>125.60000000000001</v>
      </c>
      <c r="E15" s="6">
        <f t="shared" si="2"/>
        <v>55</v>
      </c>
      <c r="F15" s="6">
        <f t="shared" si="5"/>
        <v>30250</v>
      </c>
      <c r="G15" s="7">
        <f t="shared" si="3"/>
        <v>41013.5</v>
      </c>
      <c r="H15" s="6">
        <f t="shared" si="4"/>
        <v>240.84394904458597</v>
      </c>
      <c r="I15" s="6">
        <f>SQRT((G15*2)/'Acceleration Inputs'!$C$8)</f>
        <v>9.5088570343653824</v>
      </c>
      <c r="J15" s="6">
        <f t="shared" si="6"/>
        <v>21.261804328840999</v>
      </c>
      <c r="K15" s="5">
        <f>AVERAGE($J$4:J15)</f>
        <v>14.960266795784818</v>
      </c>
      <c r="L15" s="6">
        <f>(60*B15/'AR5 Gear Ratios'!$D$2)*(('AR5 Gear Ratios'!$B$12*3.14)/63360)</f>
        <v>6.7008109261630384</v>
      </c>
      <c r="M15" s="6">
        <f>(60*B15/'AR5 Gear Ratios'!$D$3)*(('AR5 Gear Ratios'!$B$12*3.14)/63360)</f>
        <v>11.118602200491768</v>
      </c>
      <c r="N15" s="6">
        <f>(60*B15/'AR5 Gear Ratios'!$D$4)*(('AR5 Gear Ratios'!$B$12*3.14)/63360)</f>
        <v>18.341635746796637</v>
      </c>
      <c r="O15" s="6">
        <f>(60*B15/'AR5 Gear Ratios'!$D$5)*(('AR5 Gear Ratios'!$B$12*3.14)/63360)</f>
        <v>25.128040973111396</v>
      </c>
      <c r="P15" s="6">
        <f>(60*B15/'AR5 Gear Ratios'!$D$6)*(('AR5 Gear Ratios'!$B$12*3.14)/63360)</f>
        <v>34.421973935769039</v>
      </c>
    </row>
    <row r="16" spans="1:21" x14ac:dyDescent="0.3">
      <c r="A16" s="2">
        <v>13</v>
      </c>
      <c r="B16" s="2">
        <v>1300</v>
      </c>
      <c r="C16" s="6">
        <f t="shared" si="0"/>
        <v>21.666666666666668</v>
      </c>
      <c r="D16" s="6">
        <f t="shared" si="1"/>
        <v>136.06666666666669</v>
      </c>
      <c r="E16" s="6">
        <f t="shared" si="2"/>
        <v>59.583333333333336</v>
      </c>
      <c r="F16" s="6">
        <f t="shared" si="5"/>
        <v>32770.833333333336</v>
      </c>
      <c r="G16" s="7">
        <f t="shared" si="3"/>
        <v>44431.291666666672</v>
      </c>
      <c r="H16" s="6">
        <f t="shared" si="4"/>
        <v>240.84394904458597</v>
      </c>
      <c r="I16" s="6">
        <f>SQRT((G16*2)/'Acceleration Inputs'!$C$8)</f>
        <v>9.8971321911113908</v>
      </c>
      <c r="J16" s="6">
        <f t="shared" si="6"/>
        <v>22.129987579325071</v>
      </c>
      <c r="K16" s="5">
        <f>AVERAGE($J$4:J16)</f>
        <v>15.511783779134069</v>
      </c>
      <c r="L16" s="6">
        <f>(60*B16/'AR5 Gear Ratios'!$D$2)*(('AR5 Gear Ratios'!$B$12*3.14)/63360)</f>
        <v>7.2592118366766254</v>
      </c>
      <c r="M16" s="6">
        <f>(60*B16/'AR5 Gear Ratios'!$D$3)*(('AR5 Gear Ratios'!$B$12*3.14)/63360)</f>
        <v>12.045152383866082</v>
      </c>
      <c r="N16" s="6">
        <f>(60*B16/'AR5 Gear Ratios'!$D$4)*(('AR5 Gear Ratios'!$B$12*3.14)/63360)</f>
        <v>19.870105392363023</v>
      </c>
      <c r="O16" s="6">
        <f>(60*B16/'AR5 Gear Ratios'!$D$5)*(('AR5 Gear Ratios'!$B$12*3.14)/63360)</f>
        <v>27.222044387537345</v>
      </c>
      <c r="P16" s="6">
        <f>(60*B16/'AR5 Gear Ratios'!$D$6)*(('AR5 Gear Ratios'!$B$12*3.14)/63360)</f>
        <v>37.290471763749785</v>
      </c>
    </row>
    <row r="17" spans="1:16" x14ac:dyDescent="0.3">
      <c r="A17" s="2">
        <v>14</v>
      </c>
      <c r="B17" s="2">
        <v>1400</v>
      </c>
      <c r="C17" s="6">
        <f t="shared" si="0"/>
        <v>23.333333333333332</v>
      </c>
      <c r="D17" s="6">
        <f t="shared" si="1"/>
        <v>146.53333333333333</v>
      </c>
      <c r="E17" s="6">
        <f t="shared" si="2"/>
        <v>64.166666666666671</v>
      </c>
      <c r="F17" s="6">
        <f t="shared" si="5"/>
        <v>35291.666666666672</v>
      </c>
      <c r="G17" s="7">
        <f t="shared" si="3"/>
        <v>47849.083333333343</v>
      </c>
      <c r="H17" s="6">
        <f t="shared" si="4"/>
        <v>240.84394904458603</v>
      </c>
      <c r="I17" s="6">
        <f>SQRT((G17*2)/'Acceleration Inputs'!$C$8)</f>
        <v>10.270739462992267</v>
      </c>
      <c r="J17" s="6">
        <f t="shared" si="6"/>
        <v>22.965373439250712</v>
      </c>
      <c r="K17" s="5">
        <f>AVERAGE($J$4:J17)</f>
        <v>16.044183040570971</v>
      </c>
      <c r="L17" s="6">
        <f>(60*B17/'AR5 Gear Ratios'!$D$2)*(('AR5 Gear Ratios'!$B$12*3.14)/63360)</f>
        <v>7.8176127471902115</v>
      </c>
      <c r="M17" s="6">
        <f>(60*B17/'AR5 Gear Ratios'!$D$3)*(('AR5 Gear Ratios'!$B$12*3.14)/63360)</f>
        <v>12.971702567240396</v>
      </c>
      <c r="N17" s="6">
        <f>(60*B17/'AR5 Gear Ratios'!$D$4)*(('AR5 Gear Ratios'!$B$12*3.14)/63360)</f>
        <v>21.398575037929412</v>
      </c>
      <c r="O17" s="6">
        <f>(60*B17/'AR5 Gear Ratios'!$D$5)*(('AR5 Gear Ratios'!$B$12*3.14)/63360)</f>
        <v>29.316047801963293</v>
      </c>
      <c r="P17" s="6">
        <f>(60*B17/'AR5 Gear Ratios'!$D$6)*(('AR5 Gear Ratios'!$B$12*3.14)/63360)</f>
        <v>40.158969591730539</v>
      </c>
    </row>
    <row r="18" spans="1:16" x14ac:dyDescent="0.3">
      <c r="A18" s="2">
        <v>15</v>
      </c>
      <c r="B18" s="2">
        <v>1500</v>
      </c>
      <c r="C18" s="6">
        <f t="shared" si="0"/>
        <v>25</v>
      </c>
      <c r="D18" s="6">
        <f t="shared" si="1"/>
        <v>157</v>
      </c>
      <c r="E18" s="6">
        <f t="shared" si="2"/>
        <v>68.75</v>
      </c>
      <c r="F18" s="6">
        <f t="shared" si="5"/>
        <v>37812.5</v>
      </c>
      <c r="G18" s="7">
        <f t="shared" si="3"/>
        <v>51266.875</v>
      </c>
      <c r="H18" s="6">
        <f t="shared" si="4"/>
        <v>240.843949044586</v>
      </c>
      <c r="I18" s="6">
        <f>SQRT((G18*2)/'Acceleration Inputs'!$C$8)</f>
        <v>10.631225358584024</v>
      </c>
      <c r="J18" s="6">
        <f t="shared" si="6"/>
        <v>23.77141990179388</v>
      </c>
      <c r="K18" s="5">
        <f>AVERAGE($J$4:J18)</f>
        <v>16.559332164652499</v>
      </c>
      <c r="L18" s="6">
        <f>(60*B18/'AR5 Gear Ratios'!$D$2)*(('AR5 Gear Ratios'!$B$12*3.14)/63360)</f>
        <v>8.3760136577037976</v>
      </c>
      <c r="M18" s="6">
        <f>(60*B18/'AR5 Gear Ratios'!$D$3)*(('AR5 Gear Ratios'!$B$12*3.14)/63360)</f>
        <v>13.898252750614711</v>
      </c>
      <c r="N18" s="6">
        <f>(60*B18/'AR5 Gear Ratios'!$D$4)*(('AR5 Gear Ratios'!$B$12*3.14)/63360)</f>
        <v>22.927044683495797</v>
      </c>
      <c r="O18" s="6">
        <f>(60*B18/'AR5 Gear Ratios'!$D$5)*(('AR5 Gear Ratios'!$B$12*3.14)/63360)</f>
        <v>31.410051216389245</v>
      </c>
      <c r="P18" s="6">
        <f>(60*B18/'AR5 Gear Ratios'!$D$6)*(('AR5 Gear Ratios'!$B$12*3.14)/63360)</f>
        <v>43.027467419711293</v>
      </c>
    </row>
    <row r="19" spans="1:16" x14ac:dyDescent="0.3">
      <c r="A19" s="2">
        <v>16</v>
      </c>
      <c r="B19" s="2">
        <v>1600</v>
      </c>
      <c r="C19" s="6">
        <f t="shared" si="0"/>
        <v>26.666666666666668</v>
      </c>
      <c r="D19" s="6">
        <f t="shared" si="1"/>
        <v>167.46666666666667</v>
      </c>
      <c r="E19" s="6">
        <f t="shared" si="2"/>
        <v>73.333333333333329</v>
      </c>
      <c r="F19" s="6">
        <f t="shared" si="5"/>
        <v>40333.333333333328</v>
      </c>
      <c r="G19" s="7">
        <f t="shared" si="3"/>
        <v>54684.666666666664</v>
      </c>
      <c r="H19" s="6">
        <f t="shared" si="4"/>
        <v>240.84394904458597</v>
      </c>
      <c r="I19" s="6">
        <f>SQRT((G19*2)/'Acceleration Inputs'!$C$8)</f>
        <v>10.97988233695304</v>
      </c>
      <c r="J19" s="6">
        <f t="shared" si="6"/>
        <v>24.551016905426998</v>
      </c>
      <c r="K19" s="5">
        <f>AVERAGE($J$4:J19)</f>
        <v>17.058812460950904</v>
      </c>
      <c r="L19" s="6">
        <f>(60*B19/'AR5 Gear Ratios'!$D$2)*(('AR5 Gear Ratios'!$B$12*3.14)/63360)</f>
        <v>8.9344145682173846</v>
      </c>
      <c r="M19" s="6">
        <f>(60*B19/'AR5 Gear Ratios'!$D$3)*(('AR5 Gear Ratios'!$B$12*3.14)/63360)</f>
        <v>14.824802933989023</v>
      </c>
      <c r="N19" s="6">
        <f>(60*B19/'AR5 Gear Ratios'!$D$4)*(('AR5 Gear Ratios'!$B$12*3.14)/63360)</f>
        <v>24.455514329062183</v>
      </c>
      <c r="O19" s="6">
        <f>(60*B19/'AR5 Gear Ratios'!$D$5)*(('AR5 Gear Ratios'!$B$12*3.14)/63360)</f>
        <v>33.50405463081519</v>
      </c>
      <c r="P19" s="6">
        <f>(60*B19/'AR5 Gear Ratios'!$D$6)*(('AR5 Gear Ratios'!$B$12*3.14)/63360)</f>
        <v>45.895965247692047</v>
      </c>
    </row>
    <row r="20" spans="1:16" x14ac:dyDescent="0.3">
      <c r="A20" s="2">
        <v>17</v>
      </c>
      <c r="B20" s="2">
        <v>1700</v>
      </c>
      <c r="C20" s="6">
        <f t="shared" si="0"/>
        <v>28.333333333333332</v>
      </c>
      <c r="D20" s="6">
        <f t="shared" si="1"/>
        <v>177.93333333333334</v>
      </c>
      <c r="E20" s="6">
        <f t="shared" si="2"/>
        <v>77.916666666666671</v>
      </c>
      <c r="F20" s="6">
        <f t="shared" si="5"/>
        <v>42854.166666666672</v>
      </c>
      <c r="G20" s="7">
        <f t="shared" si="3"/>
        <v>58102.458333333343</v>
      </c>
      <c r="H20" s="6">
        <f t="shared" si="4"/>
        <v>240.843949044586</v>
      </c>
      <c r="I20" s="6">
        <f>SQRT((G20*2)/'Acceleration Inputs'!$C$8)</f>
        <v>11.317803658027767</v>
      </c>
      <c r="J20" s="6">
        <f t="shared" si="6"/>
        <v>25.306608979350088</v>
      </c>
      <c r="K20" s="5">
        <f>AVERAGE($J$4:J20)</f>
        <v>17.543976962033209</v>
      </c>
      <c r="L20" s="6">
        <f>(60*B20/'AR5 Gear Ratios'!$D$2)*(('AR5 Gear Ratios'!$B$12*3.14)/63360)</f>
        <v>9.4928154787309715</v>
      </c>
      <c r="M20" s="6">
        <f>(60*B20/'AR5 Gear Ratios'!$D$3)*(('AR5 Gear Ratios'!$B$12*3.14)/63360)</f>
        <v>15.751353117363339</v>
      </c>
      <c r="N20" s="6">
        <f>(60*B20/'AR5 Gear Ratios'!$D$4)*(('AR5 Gear Ratios'!$B$12*3.14)/63360)</f>
        <v>25.983983974628572</v>
      </c>
      <c r="O20" s="6">
        <f>(60*B20/'AR5 Gear Ratios'!$D$5)*(('AR5 Gear Ratios'!$B$12*3.14)/63360)</f>
        <v>35.598058045241146</v>
      </c>
      <c r="P20" s="6">
        <f>(60*B20/'AR5 Gear Ratios'!$D$6)*(('AR5 Gear Ratios'!$B$12*3.14)/63360)</f>
        <v>48.764463075672801</v>
      </c>
    </row>
    <row r="21" spans="1:16" x14ac:dyDescent="0.3">
      <c r="A21" s="2">
        <v>18</v>
      </c>
      <c r="B21" s="2">
        <v>1800</v>
      </c>
      <c r="C21" s="6">
        <f t="shared" si="0"/>
        <v>30</v>
      </c>
      <c r="D21" s="6">
        <f t="shared" si="1"/>
        <v>188.4</v>
      </c>
      <c r="E21" s="6">
        <f t="shared" si="2"/>
        <v>82.5</v>
      </c>
      <c r="F21" s="6">
        <f t="shared" si="5"/>
        <v>45375</v>
      </c>
      <c r="G21" s="7">
        <f t="shared" si="3"/>
        <v>61520.250000000007</v>
      </c>
      <c r="H21" s="6">
        <f t="shared" si="4"/>
        <v>240.84394904458597</v>
      </c>
      <c r="I21" s="6">
        <f>SQRT((G21*2)/'Acceleration Inputs'!$C$8)</f>
        <v>11.645923885634838</v>
      </c>
      <c r="J21" s="6">
        <f t="shared" si="6"/>
        <v>26.040285808279499</v>
      </c>
      <c r="K21" s="5">
        <f>AVERAGE($J$4:J21)</f>
        <v>18.015994120158002</v>
      </c>
      <c r="L21" s="6">
        <f>(60*B21/'AR5 Gear Ratios'!$D$2)*(('AR5 Gear Ratios'!$B$12*3.14)/63360)</f>
        <v>10.051216389244559</v>
      </c>
      <c r="M21" s="6">
        <f>(60*B21/'AR5 Gear Ratios'!$D$3)*(('AR5 Gear Ratios'!$B$12*3.14)/63360)</f>
        <v>16.67790330073765</v>
      </c>
      <c r="N21" s="6">
        <f>(60*B21/'AR5 Gear Ratios'!$D$4)*(('AR5 Gear Ratios'!$B$12*3.14)/63360)</f>
        <v>27.512453620194957</v>
      </c>
      <c r="O21" s="6">
        <f>(60*B21/'AR5 Gear Ratios'!$D$5)*(('AR5 Gear Ratios'!$B$12*3.14)/63360)</f>
        <v>37.692061459667094</v>
      </c>
      <c r="P21" s="6">
        <f>(60*B21/'AR5 Gear Ratios'!$D$6)*(('AR5 Gear Ratios'!$B$12*3.14)/63360)</f>
        <v>51.632960903653554</v>
      </c>
    </row>
    <row r="22" spans="1:16" x14ac:dyDescent="0.3">
      <c r="A22" s="2">
        <v>19</v>
      </c>
      <c r="B22" s="2">
        <v>1900</v>
      </c>
      <c r="C22" s="6">
        <f t="shared" si="0"/>
        <v>31.666666666666668</v>
      </c>
      <c r="D22" s="6">
        <f t="shared" si="1"/>
        <v>198.86666666666667</v>
      </c>
      <c r="E22" s="6">
        <f t="shared" si="2"/>
        <v>87.083333333333329</v>
      </c>
      <c r="F22" s="6">
        <f t="shared" si="5"/>
        <v>47895.833333333328</v>
      </c>
      <c r="G22" s="7">
        <f t="shared" si="3"/>
        <v>64938.041666666664</v>
      </c>
      <c r="H22" s="6">
        <f t="shared" si="4"/>
        <v>240.84394904458594</v>
      </c>
      <c r="I22" s="6">
        <f>SQRT((G22*2)/'Acceleration Inputs'!$C$8)</f>
        <v>11.965049379686377</v>
      </c>
      <c r="J22" s="6">
        <f t="shared" si="6"/>
        <v>26.753850412978743</v>
      </c>
      <c r="K22" s="5">
        <f>AVERAGE($J$4:J22)</f>
        <v>18.475881293464358</v>
      </c>
      <c r="L22" s="6">
        <f>(60*B22/'AR5 Gear Ratios'!$D$2)*(('AR5 Gear Ratios'!$B$12*3.14)/63360)</f>
        <v>10.609617299758144</v>
      </c>
      <c r="M22" s="6">
        <f>(60*B22/'AR5 Gear Ratios'!$D$3)*(('AR5 Gear Ratios'!$B$12*3.14)/63360)</f>
        <v>17.604453484111968</v>
      </c>
      <c r="N22" s="6">
        <f>(60*B22/'AR5 Gear Ratios'!$D$4)*(('AR5 Gear Ratios'!$B$12*3.14)/63360)</f>
        <v>29.040923265761343</v>
      </c>
      <c r="O22" s="6">
        <f>(60*B22/'AR5 Gear Ratios'!$D$5)*(('AR5 Gear Ratios'!$B$12*3.14)/63360)</f>
        <v>39.786064874093043</v>
      </c>
      <c r="P22" s="6">
        <f>(60*B22/'AR5 Gear Ratios'!$D$6)*(('AR5 Gear Ratios'!$B$12*3.14)/63360)</f>
        <v>54.501458731634308</v>
      </c>
    </row>
    <row r="23" spans="1:16" x14ac:dyDescent="0.3">
      <c r="A23" s="2">
        <v>20</v>
      </c>
      <c r="B23" s="2">
        <v>2000</v>
      </c>
      <c r="C23" s="6">
        <f t="shared" si="0"/>
        <v>33.333333333333336</v>
      </c>
      <c r="D23" s="6">
        <f t="shared" si="1"/>
        <v>209.33333333333334</v>
      </c>
      <c r="E23" s="6">
        <f t="shared" si="2"/>
        <v>91.666666666666657</v>
      </c>
      <c r="F23" s="6">
        <f t="shared" si="5"/>
        <v>50416.666666666664</v>
      </c>
      <c r="G23" s="7">
        <f t="shared" si="3"/>
        <v>68355.833333333328</v>
      </c>
      <c r="H23" s="6">
        <f t="shared" si="4"/>
        <v>240.84394904458597</v>
      </c>
      <c r="I23" s="6">
        <f>SQRT((G23*2)/'Acceleration Inputs'!$C$8)</f>
        <v>12.275881645188123</v>
      </c>
      <c r="J23" s="6">
        <f t="shared" si="6"/>
        <v>27.448871358640645</v>
      </c>
      <c r="K23" s="5">
        <f>AVERAGE($J$4:J23)</f>
        <v>18.924530796723172</v>
      </c>
      <c r="L23" s="6">
        <f>(60*B23/'AR5 Gear Ratios'!$D$2)*(('AR5 Gear Ratios'!$B$12*3.14)/63360)</f>
        <v>11.168018210271731</v>
      </c>
      <c r="M23" s="6">
        <f>(60*B23/'AR5 Gear Ratios'!$D$3)*(('AR5 Gear Ratios'!$B$12*3.14)/63360)</f>
        <v>18.531003667486278</v>
      </c>
      <c r="N23" s="6">
        <f>(60*B23/'AR5 Gear Ratios'!$D$4)*(('AR5 Gear Ratios'!$B$12*3.14)/63360)</f>
        <v>30.569392911327729</v>
      </c>
      <c r="O23" s="6">
        <f>(60*B23/'AR5 Gear Ratios'!$D$5)*(('AR5 Gear Ratios'!$B$12*3.14)/63360)</f>
        <v>41.880068288518999</v>
      </c>
      <c r="P23" s="6">
        <f>(60*B23/'AR5 Gear Ratios'!$D$6)*(('AR5 Gear Ratios'!$B$12*3.14)/63360)</f>
        <v>57.369956559615055</v>
      </c>
    </row>
    <row r="24" spans="1:16" x14ac:dyDescent="0.3">
      <c r="A24" s="2">
        <v>21</v>
      </c>
      <c r="B24" s="2">
        <v>2100</v>
      </c>
      <c r="C24" s="6">
        <f t="shared" si="0"/>
        <v>35</v>
      </c>
      <c r="D24" s="6">
        <f t="shared" si="1"/>
        <v>219.8</v>
      </c>
      <c r="E24" s="6">
        <f t="shared" si="2"/>
        <v>96.25</v>
      </c>
      <c r="F24" s="6">
        <f t="shared" si="5"/>
        <v>52937.5</v>
      </c>
      <c r="G24" s="7">
        <f t="shared" si="3"/>
        <v>71773.625</v>
      </c>
      <c r="H24" s="6">
        <f t="shared" si="4"/>
        <v>240.84394904458597</v>
      </c>
      <c r="I24" s="6">
        <f>SQRT((G24*2)/'Acceleration Inputs'!$C$8)</f>
        <v>12.579035482698982</v>
      </c>
      <c r="J24" s="6">
        <f t="shared" si="6"/>
        <v>28.126723339314928</v>
      </c>
      <c r="K24" s="5">
        <f>AVERAGE($J$4:J24)</f>
        <v>19.362730441608495</v>
      </c>
      <c r="L24" s="6">
        <f>(60*B24/'AR5 Gear Ratios'!$D$2)*(('AR5 Gear Ratios'!$B$12*3.14)/63360)</f>
        <v>11.726419120785318</v>
      </c>
      <c r="M24" s="6">
        <f>(60*B24/'AR5 Gear Ratios'!$D$3)*(('AR5 Gear Ratios'!$B$12*3.14)/63360)</f>
        <v>19.457553850860595</v>
      </c>
      <c r="N24" s="6">
        <f>(60*B24/'AR5 Gear Ratios'!$D$4)*(('AR5 Gear Ratios'!$B$12*3.14)/63360)</f>
        <v>32.097862556894114</v>
      </c>
      <c r="O24" s="6">
        <f>(60*B24/'AR5 Gear Ratios'!$D$5)*(('AR5 Gear Ratios'!$B$12*3.14)/63360)</f>
        <v>43.97407170294494</v>
      </c>
      <c r="P24" s="6">
        <f>(60*B24/'AR5 Gear Ratios'!$D$6)*(('AR5 Gear Ratios'!$B$12*3.14)/63360)</f>
        <v>60.238454387595809</v>
      </c>
    </row>
    <row r="25" spans="1:16" x14ac:dyDescent="0.3">
      <c r="A25" s="2">
        <v>22</v>
      </c>
      <c r="B25" s="2">
        <v>2200</v>
      </c>
      <c r="C25" s="6">
        <f t="shared" si="0"/>
        <v>36.666666666666664</v>
      </c>
      <c r="D25" s="6">
        <f t="shared" si="1"/>
        <v>230.26666666666665</v>
      </c>
      <c r="E25" s="6">
        <f t="shared" si="2"/>
        <v>100.83333333333333</v>
      </c>
      <c r="F25" s="6">
        <f t="shared" si="5"/>
        <v>55458.333333333328</v>
      </c>
      <c r="G25" s="7">
        <f t="shared" si="3"/>
        <v>75191.416666666672</v>
      </c>
      <c r="H25" s="6">
        <f t="shared" si="4"/>
        <v>240.84394904458597</v>
      </c>
      <c r="I25" s="6">
        <f>SQRT((G25*2)/'Acceleration Inputs'!$C$8)</f>
        <v>12.875053288562862</v>
      </c>
      <c r="J25" s="6">
        <f t="shared" si="6"/>
        <v>28.788619153226563</v>
      </c>
      <c r="K25" s="5">
        <f>AVERAGE($J$4:J25)</f>
        <v>19.791179928500227</v>
      </c>
      <c r="L25" s="6">
        <f>(60*B25/'AR5 Gear Ratios'!$D$2)*(('AR5 Gear Ratios'!$B$12*3.14)/63360)</f>
        <v>12.284820031298905</v>
      </c>
      <c r="M25" s="6">
        <f>(60*B25/'AR5 Gear Ratios'!$D$3)*(('AR5 Gear Ratios'!$B$12*3.14)/63360)</f>
        <v>20.384104034234909</v>
      </c>
      <c r="N25" s="6">
        <f>(60*B25/'AR5 Gear Ratios'!$D$4)*(('AR5 Gear Ratios'!$B$12*3.14)/63360)</f>
        <v>33.626332202460503</v>
      </c>
      <c r="O25" s="6">
        <f>(60*B25/'AR5 Gear Ratios'!$D$5)*(('AR5 Gear Ratios'!$B$12*3.14)/63360)</f>
        <v>46.068075117370896</v>
      </c>
      <c r="P25" s="6">
        <f>(60*B25/'AR5 Gear Ratios'!$D$6)*(('AR5 Gear Ratios'!$B$12*3.14)/63360)</f>
        <v>63.10695221557657</v>
      </c>
    </row>
    <row r="26" spans="1:16" x14ac:dyDescent="0.3">
      <c r="A26" s="2">
        <v>23</v>
      </c>
      <c r="B26" s="2">
        <v>2300</v>
      </c>
      <c r="C26" s="6">
        <f t="shared" si="0"/>
        <v>38.333333333333336</v>
      </c>
      <c r="D26" s="6">
        <f t="shared" si="1"/>
        <v>240.73333333333335</v>
      </c>
      <c r="E26" s="6">
        <f t="shared" si="2"/>
        <v>105.41666666666667</v>
      </c>
      <c r="F26" s="6">
        <f t="shared" si="5"/>
        <v>57979.166666666672</v>
      </c>
      <c r="G26" s="7">
        <f t="shared" si="3"/>
        <v>78609.208333333343</v>
      </c>
      <c r="H26" s="6">
        <f t="shared" si="4"/>
        <v>240.843949044586</v>
      </c>
      <c r="I26" s="6">
        <f>SQRT((G26*2)/'Acceleration Inputs'!$C$8)</f>
        <v>13.164416458455982</v>
      </c>
      <c r="J26" s="6">
        <f t="shared" si="6"/>
        <v>29.435635201107576</v>
      </c>
      <c r="K26" s="5">
        <f>AVERAGE($J$4:J26)</f>
        <v>20.210504070787501</v>
      </c>
      <c r="L26" s="6">
        <f>(60*B26/'AR5 Gear Ratios'!$D$2)*(('AR5 Gear Ratios'!$B$12*3.14)/63360)</f>
        <v>12.84322094181249</v>
      </c>
      <c r="M26" s="6">
        <f>(60*B26/'AR5 Gear Ratios'!$D$3)*(('AR5 Gear Ratios'!$B$12*3.14)/63360)</f>
        <v>21.310654217609219</v>
      </c>
      <c r="N26" s="6">
        <f>(60*B26/'AR5 Gear Ratios'!$D$4)*(('AR5 Gear Ratios'!$B$12*3.14)/63360)</f>
        <v>35.154801848026892</v>
      </c>
      <c r="O26" s="6">
        <f>(60*B26/'AR5 Gear Ratios'!$D$5)*(('AR5 Gear Ratios'!$B$12*3.14)/63360)</f>
        <v>48.162078531796837</v>
      </c>
      <c r="P26" s="6">
        <f>(60*B26/'AR5 Gear Ratios'!$D$6)*(('AR5 Gear Ratios'!$B$12*3.14)/63360)</f>
        <v>65.975450043557316</v>
      </c>
    </row>
    <row r="27" spans="1:16" x14ac:dyDescent="0.3">
      <c r="A27" s="2">
        <v>24</v>
      </c>
      <c r="B27" s="2">
        <v>2400</v>
      </c>
      <c r="C27" s="6">
        <f t="shared" si="0"/>
        <v>40</v>
      </c>
      <c r="D27" s="6">
        <f t="shared" si="1"/>
        <v>251.20000000000002</v>
      </c>
      <c r="E27" s="6">
        <f t="shared" si="2"/>
        <v>110</v>
      </c>
      <c r="F27" s="6">
        <f t="shared" si="5"/>
        <v>60500</v>
      </c>
      <c r="G27" s="7">
        <f t="shared" si="3"/>
        <v>82027</v>
      </c>
      <c r="H27" s="6">
        <f t="shared" si="4"/>
        <v>240.84394904458597</v>
      </c>
      <c r="I27" s="6">
        <f>SQRT((G27*2)/'Acceleration Inputs'!$C$8)</f>
        <v>13.447554580666331</v>
      </c>
      <c r="J27" s="6">
        <f t="shared" si="6"/>
        <v>30.06873204236992</v>
      </c>
      <c r="K27" s="5">
        <f>AVERAGE($J$4:J27)</f>
        <v>20.621263569603435</v>
      </c>
      <c r="L27" s="6">
        <f>(60*B27/'AR5 Gear Ratios'!$D$2)*(('AR5 Gear Ratios'!$B$12*3.14)/63360)</f>
        <v>13.401621852326077</v>
      </c>
      <c r="M27" s="6">
        <f>(60*B27/'AR5 Gear Ratios'!$D$3)*(('AR5 Gear Ratios'!$B$12*3.14)/63360)</f>
        <v>22.237204400983536</v>
      </c>
      <c r="N27" s="6">
        <f>(60*B27/'AR5 Gear Ratios'!$D$4)*(('AR5 Gear Ratios'!$B$12*3.14)/63360)</f>
        <v>36.683271493593274</v>
      </c>
      <c r="O27" s="6">
        <f>(60*B27/'AR5 Gear Ratios'!$D$5)*(('AR5 Gear Ratios'!$B$12*3.14)/63360)</f>
        <v>50.256081946222793</v>
      </c>
      <c r="P27" s="6">
        <f>(60*B27/'AR5 Gear Ratios'!$D$6)*(('AR5 Gear Ratios'!$B$12*3.14)/63360)</f>
        <v>68.843947871538077</v>
      </c>
    </row>
    <row r="28" spans="1:16" x14ac:dyDescent="0.3">
      <c r="A28" s="2">
        <v>25</v>
      </c>
      <c r="B28" s="2">
        <v>2500</v>
      </c>
      <c r="C28" s="6">
        <f t="shared" si="0"/>
        <v>41.666666666666664</v>
      </c>
      <c r="D28" s="6">
        <f t="shared" si="1"/>
        <v>261.66666666666669</v>
      </c>
      <c r="E28" s="6">
        <f t="shared" si="2"/>
        <v>114.58333333333334</v>
      </c>
      <c r="F28" s="6">
        <f t="shared" si="5"/>
        <v>63020.833333333336</v>
      </c>
      <c r="G28" s="7">
        <f t="shared" si="3"/>
        <v>85444.791666666686</v>
      </c>
      <c r="H28" s="6">
        <f t="shared" si="4"/>
        <v>240.84394904458597</v>
      </c>
      <c r="I28" s="6">
        <f>SQRT((G28*2)/'Acceleration Inputs'!$C$8)</f>
        <v>13.724852921191301</v>
      </c>
      <c r="J28" s="6">
        <f t="shared" si="6"/>
        <v>30.688771131783753</v>
      </c>
      <c r="K28" s="5">
        <f>AVERAGE($J$4:J28)</f>
        <v>21.023963872090647</v>
      </c>
      <c r="L28" s="6">
        <f>(60*B28/'AR5 Gear Ratios'!$D$2)*(('AR5 Gear Ratios'!$B$12*3.14)/63360)</f>
        <v>13.960022762839664</v>
      </c>
      <c r="M28" s="6">
        <f>(60*B28/'AR5 Gear Ratios'!$D$3)*(('AR5 Gear Ratios'!$B$12*3.14)/63360)</f>
        <v>23.16375458435785</v>
      </c>
      <c r="N28" s="6">
        <f>(60*B28/'AR5 Gear Ratios'!$D$4)*(('AR5 Gear Ratios'!$B$12*3.14)/63360)</f>
        <v>38.211741139159663</v>
      </c>
      <c r="O28" s="6">
        <f>(60*B28/'AR5 Gear Ratios'!$D$5)*(('AR5 Gear Ratios'!$B$12*3.14)/63360)</f>
        <v>52.350085360648741</v>
      </c>
      <c r="P28" s="6">
        <f>(60*B28/'AR5 Gear Ratios'!$D$6)*(('AR5 Gear Ratios'!$B$12*3.14)/63360)</f>
        <v>71.712445699518824</v>
      </c>
    </row>
    <row r="29" spans="1:16" x14ac:dyDescent="0.3">
      <c r="A29" s="2">
        <v>26</v>
      </c>
      <c r="B29" s="2">
        <v>2600</v>
      </c>
      <c r="C29" s="6">
        <f t="shared" si="0"/>
        <v>43.333333333333336</v>
      </c>
      <c r="D29" s="6">
        <f t="shared" si="1"/>
        <v>272.13333333333338</v>
      </c>
      <c r="E29" s="6">
        <f t="shared" si="2"/>
        <v>119.16666666666667</v>
      </c>
      <c r="F29" s="6">
        <f t="shared" si="5"/>
        <v>65541.666666666672</v>
      </c>
      <c r="G29" s="7">
        <f t="shared" si="3"/>
        <v>88862.583333333343</v>
      </c>
      <c r="H29" s="6">
        <f t="shared" si="4"/>
        <v>240.84394904458597</v>
      </c>
      <c r="I29" s="6">
        <f>SQRT((G29*2)/'Acceleration Inputs'!$C$8)</f>
        <v>13.996658573269075</v>
      </c>
      <c r="J29" s="6">
        <f t="shared" si="6"/>
        <v>31.296528569829654</v>
      </c>
      <c r="K29" s="5">
        <f>AVERAGE($J$4:J29)</f>
        <v>21.419062514311381</v>
      </c>
      <c r="L29" s="6">
        <f>(60*B29/'AR5 Gear Ratios'!$D$2)*(('AR5 Gear Ratios'!$B$12*3.14)/63360)</f>
        <v>14.518423673353251</v>
      </c>
      <c r="M29" s="6">
        <f>(60*B29/'AR5 Gear Ratios'!$D$3)*(('AR5 Gear Ratios'!$B$12*3.14)/63360)</f>
        <v>24.090304767732164</v>
      </c>
      <c r="N29" s="6">
        <f>(60*B29/'AR5 Gear Ratios'!$D$4)*(('AR5 Gear Ratios'!$B$12*3.14)/63360)</f>
        <v>39.740210784726045</v>
      </c>
      <c r="O29" s="6">
        <f>(60*B29/'AR5 Gear Ratios'!$D$5)*(('AR5 Gear Ratios'!$B$12*3.14)/63360)</f>
        <v>54.44408877507469</v>
      </c>
      <c r="P29" s="6">
        <f>(60*B29/'AR5 Gear Ratios'!$D$6)*(('AR5 Gear Ratios'!$B$12*3.14)/63360)</f>
        <v>74.580943527499571</v>
      </c>
    </row>
    <row r="30" spans="1:16" x14ac:dyDescent="0.3">
      <c r="A30" s="2">
        <v>27</v>
      </c>
      <c r="B30" s="2">
        <v>2700</v>
      </c>
      <c r="C30" s="6">
        <f t="shared" si="0"/>
        <v>45</v>
      </c>
      <c r="D30" s="6">
        <f t="shared" si="1"/>
        <v>282.60000000000002</v>
      </c>
      <c r="E30" s="6">
        <f t="shared" si="2"/>
        <v>123.75</v>
      </c>
      <c r="F30" s="6">
        <f t="shared" si="5"/>
        <v>68062.5</v>
      </c>
      <c r="G30" s="7">
        <f t="shared" si="3"/>
        <v>92280.375</v>
      </c>
      <c r="H30" s="6">
        <f t="shared" si="4"/>
        <v>240.84394904458597</v>
      </c>
      <c r="I30" s="6">
        <f>SQRT((G30*2)/'Acceleration Inputs'!$C$8)</f>
        <v>14.263285551548073</v>
      </c>
      <c r="J30" s="6">
        <f t="shared" si="6"/>
        <v>31.892706493261493</v>
      </c>
      <c r="K30" s="5">
        <f>AVERAGE($J$4:J30)</f>
        <v>21.806975254272494</v>
      </c>
      <c r="L30" s="6">
        <f>(60*B30/'AR5 Gear Ratios'!$D$2)*(('AR5 Gear Ratios'!$B$12*3.14)/63360)</f>
        <v>15.076824583866836</v>
      </c>
      <c r="M30" s="6">
        <f>(60*B30/'AR5 Gear Ratios'!$D$3)*(('AR5 Gear Ratios'!$B$12*3.14)/63360)</f>
        <v>25.016854951106478</v>
      </c>
      <c r="N30" s="6">
        <f>(60*B30/'AR5 Gear Ratios'!$D$4)*(('AR5 Gear Ratios'!$B$12*3.14)/63360)</f>
        <v>41.268680430292434</v>
      </c>
      <c r="O30" s="6">
        <f>(60*B30/'AR5 Gear Ratios'!$D$5)*(('AR5 Gear Ratios'!$B$12*3.14)/63360)</f>
        <v>56.538092189500645</v>
      </c>
      <c r="P30" s="6">
        <f>(60*B30/'AR5 Gear Ratios'!$D$6)*(('AR5 Gear Ratios'!$B$12*3.14)/63360)</f>
        <v>77.449441355480332</v>
      </c>
    </row>
    <row r="31" spans="1:16" x14ac:dyDescent="0.3">
      <c r="A31" s="2">
        <v>28</v>
      </c>
      <c r="B31" s="2">
        <v>2800</v>
      </c>
      <c r="C31" s="6">
        <f t="shared" si="0"/>
        <v>46.666666666666664</v>
      </c>
      <c r="D31" s="6">
        <f t="shared" si="1"/>
        <v>293.06666666666666</v>
      </c>
      <c r="E31" s="6">
        <f t="shared" si="2"/>
        <v>128.33333333333334</v>
      </c>
      <c r="F31" s="6">
        <f t="shared" si="5"/>
        <v>70583.333333333343</v>
      </c>
      <c r="G31" s="7">
        <f t="shared" si="3"/>
        <v>95698.166666666686</v>
      </c>
      <c r="H31" s="6">
        <f t="shared" si="4"/>
        <v>240.84394904458603</v>
      </c>
      <c r="I31" s="6">
        <f>SQRT((G31*2)/'Acceleration Inputs'!$C$8)</f>
        <v>14.525019044164225</v>
      </c>
      <c r="J31" s="6">
        <f t="shared" si="6"/>
        <v>32.477942582751211</v>
      </c>
      <c r="K31" s="5">
        <f>AVERAGE($J$4:J31)</f>
        <v>22.18808123028959</v>
      </c>
      <c r="L31" s="6">
        <f>(60*B31/'AR5 Gear Ratios'!$D$2)*(('AR5 Gear Ratios'!$B$12*3.14)/63360)</f>
        <v>15.635225494380423</v>
      </c>
      <c r="M31" s="6">
        <f>(60*B31/'AR5 Gear Ratios'!$D$3)*(('AR5 Gear Ratios'!$B$12*3.14)/63360)</f>
        <v>25.943405134480791</v>
      </c>
      <c r="N31" s="6">
        <f>(60*B31/'AR5 Gear Ratios'!$D$4)*(('AR5 Gear Ratios'!$B$12*3.14)/63360)</f>
        <v>42.797150075858823</v>
      </c>
      <c r="O31" s="6">
        <f>(60*B31/'AR5 Gear Ratios'!$D$5)*(('AR5 Gear Ratios'!$B$12*3.14)/63360)</f>
        <v>58.632095603926587</v>
      </c>
      <c r="P31" s="6">
        <f>(60*B31/'AR5 Gear Ratios'!$D$6)*(('AR5 Gear Ratios'!$B$12*3.14)/63360)</f>
        <v>80.317939183461078</v>
      </c>
    </row>
    <row r="32" spans="1:16" x14ac:dyDescent="0.3">
      <c r="A32" s="2">
        <v>29</v>
      </c>
      <c r="B32" s="2">
        <v>2900</v>
      </c>
      <c r="C32" s="6">
        <f t="shared" si="0"/>
        <v>48.333333333333336</v>
      </c>
      <c r="D32" s="6">
        <f t="shared" si="1"/>
        <v>303.53333333333336</v>
      </c>
      <c r="E32" s="6">
        <f t="shared" si="2"/>
        <v>132.91666666666666</v>
      </c>
      <c r="F32" s="6">
        <f t="shared" si="5"/>
        <v>73104.166666666657</v>
      </c>
      <c r="G32" s="7">
        <f t="shared" si="3"/>
        <v>99115.958333333328</v>
      </c>
      <c r="H32" s="6">
        <f t="shared" si="4"/>
        <v>240.84394904458594</v>
      </c>
      <c r="I32" s="6">
        <f>SQRT((G32*2)/'Acceleration Inputs'!$C$8)</f>
        <v>14.782118986859315</v>
      </c>
      <c r="J32" s="6">
        <f t="shared" si="6"/>
        <v>33.052818054617433</v>
      </c>
      <c r="K32" s="5">
        <f>AVERAGE($J$4:J32)</f>
        <v>22.562727327680207</v>
      </c>
      <c r="L32" s="6">
        <f>(60*B32/'AR5 Gear Ratios'!$D$2)*(('AR5 Gear Ratios'!$B$12*3.14)/63360)</f>
        <v>16.193626404894012</v>
      </c>
      <c r="M32" s="6">
        <f>(60*B32/'AR5 Gear Ratios'!$D$3)*(('AR5 Gear Ratios'!$B$12*3.14)/63360)</f>
        <v>26.869955317855108</v>
      </c>
      <c r="N32" s="6">
        <f>(60*B32/'AR5 Gear Ratios'!$D$4)*(('AR5 Gear Ratios'!$B$12*3.14)/63360)</f>
        <v>44.325619721425205</v>
      </c>
      <c r="O32" s="6">
        <f>(60*B32/'AR5 Gear Ratios'!$D$5)*(('AR5 Gear Ratios'!$B$12*3.14)/63360)</f>
        <v>60.726099018352542</v>
      </c>
      <c r="P32" s="6">
        <f>(60*B32/'AR5 Gear Ratios'!$D$6)*(('AR5 Gear Ratios'!$B$12*3.14)/63360)</f>
        <v>83.186437011441839</v>
      </c>
    </row>
    <row r="33" spans="1:16" x14ac:dyDescent="0.3">
      <c r="A33" s="2">
        <v>30</v>
      </c>
      <c r="B33" s="2">
        <v>3000</v>
      </c>
      <c r="C33" s="6">
        <f t="shared" si="0"/>
        <v>50</v>
      </c>
      <c r="D33" s="6">
        <f t="shared" si="1"/>
        <v>314</v>
      </c>
      <c r="E33" s="6">
        <f t="shared" si="2"/>
        <v>137.5</v>
      </c>
      <c r="F33" s="6">
        <f t="shared" si="5"/>
        <v>75625</v>
      </c>
      <c r="G33" s="7">
        <f t="shared" si="3"/>
        <v>102533.75</v>
      </c>
      <c r="H33" s="6">
        <f t="shared" si="4"/>
        <v>240.843949044586</v>
      </c>
      <c r="I33" s="6">
        <f>SQRT((G33*2)/'Acceleration Inputs'!$C$8)</f>
        <v>15.034823086754297</v>
      </c>
      <c r="J33" s="6">
        <f t="shared" si="6"/>
        <v>33.61786442198261</v>
      </c>
      <c r="K33" s="5">
        <f>AVERAGE($J$4:J33)</f>
        <v>22.931231897490289</v>
      </c>
      <c r="L33" s="6">
        <f>(60*B33/'AR5 Gear Ratios'!$D$2)*(('AR5 Gear Ratios'!$B$12*3.14)/63360)</f>
        <v>16.752027315407595</v>
      </c>
      <c r="M33" s="6">
        <f>(60*B33/'AR5 Gear Ratios'!$D$3)*(('AR5 Gear Ratios'!$B$12*3.14)/63360)</f>
        <v>27.796505501229422</v>
      </c>
      <c r="N33" s="6">
        <f>(60*B33/'AR5 Gear Ratios'!$D$4)*(('AR5 Gear Ratios'!$B$12*3.14)/63360)</f>
        <v>45.854089366991595</v>
      </c>
      <c r="O33" s="6">
        <f>(60*B33/'AR5 Gear Ratios'!$D$5)*(('AR5 Gear Ratios'!$B$12*3.14)/63360)</f>
        <v>62.820102432778491</v>
      </c>
      <c r="P33" s="6">
        <f>(60*B33/'AR5 Gear Ratios'!$D$6)*(('AR5 Gear Ratios'!$B$12*3.14)/63360)</f>
        <v>86.054934839422586</v>
      </c>
    </row>
    <row r="34" spans="1:16" x14ac:dyDescent="0.3">
      <c r="A34" s="2">
        <v>31</v>
      </c>
      <c r="B34" s="2">
        <v>3100</v>
      </c>
      <c r="C34" s="6">
        <f t="shared" si="0"/>
        <v>51.666666666666664</v>
      </c>
      <c r="D34" s="6">
        <f t="shared" si="1"/>
        <v>324.46666666666664</v>
      </c>
      <c r="E34" s="6">
        <f t="shared" si="2"/>
        <v>142.08333333333334</v>
      </c>
      <c r="F34" s="6">
        <f t="shared" si="5"/>
        <v>78145.833333333343</v>
      </c>
      <c r="G34" s="7">
        <f t="shared" si="3"/>
        <v>105951.54166666669</v>
      </c>
      <c r="H34" s="6">
        <f t="shared" si="4"/>
        <v>240.84394904458603</v>
      </c>
      <c r="I34" s="6">
        <f>SQRT((G34*2)/'Acceleration Inputs'!$C$8)</f>
        <v>15.28334939593849</v>
      </c>
      <c r="J34" s="6">
        <f t="shared" si="6"/>
        <v>34.173569249318469</v>
      </c>
      <c r="K34" s="5">
        <f>AVERAGE($J$4:J34)</f>
        <v>23.293887941097648</v>
      </c>
      <c r="L34" s="6">
        <f>(60*B34/'AR5 Gear Ratios'!$D$2)*(('AR5 Gear Ratios'!$B$12*3.14)/63360)</f>
        <v>17.310428225921182</v>
      </c>
      <c r="M34" s="6">
        <f>(60*B34/'AR5 Gear Ratios'!$D$3)*(('AR5 Gear Ratios'!$B$12*3.14)/63360)</f>
        <v>28.723055684603736</v>
      </c>
      <c r="N34" s="6">
        <f>(60*B34/'AR5 Gear Ratios'!$D$4)*(('AR5 Gear Ratios'!$B$12*3.14)/63360)</f>
        <v>47.382559012557977</v>
      </c>
      <c r="O34" s="6">
        <f>(60*B34/'AR5 Gear Ratios'!$D$5)*(('AR5 Gear Ratios'!$B$12*3.14)/63360)</f>
        <v>64.914105847204439</v>
      </c>
      <c r="P34" s="6">
        <f>(60*B34/'AR5 Gear Ratios'!$D$6)*(('AR5 Gear Ratios'!$B$12*3.14)/63360)</f>
        <v>88.923432667403347</v>
      </c>
    </row>
    <row r="35" spans="1:16" x14ac:dyDescent="0.3">
      <c r="A35" s="2">
        <v>32</v>
      </c>
      <c r="B35" s="2">
        <v>3200</v>
      </c>
      <c r="C35" s="6">
        <f t="shared" si="0"/>
        <v>53.333333333333336</v>
      </c>
      <c r="D35" s="6">
        <f t="shared" si="1"/>
        <v>334.93333333333334</v>
      </c>
      <c r="E35" s="6">
        <f t="shared" si="2"/>
        <v>146.66666666666666</v>
      </c>
      <c r="F35" s="6">
        <f t="shared" si="5"/>
        <v>80666.666666666657</v>
      </c>
      <c r="G35" s="7">
        <f t="shared" si="3"/>
        <v>109369.33333333333</v>
      </c>
      <c r="H35" s="6">
        <f t="shared" si="4"/>
        <v>240.84394904458597</v>
      </c>
      <c r="I35" s="6">
        <f>SQRT((G35*2)/'Acceleration Inputs'!$C$8)</f>
        <v>15.527898514179782</v>
      </c>
      <c r="J35" s="6">
        <f t="shared" si="6"/>
        <v>34.720381077705994</v>
      </c>
      <c r="K35" s="5">
        <f>AVERAGE($J$4:J35)</f>
        <v>23.650965851616657</v>
      </c>
      <c r="L35" s="6">
        <f>(60*B35/'AR5 Gear Ratios'!$D$2)*(('AR5 Gear Ratios'!$B$12*3.14)/63360)</f>
        <v>17.868829136434769</v>
      </c>
      <c r="M35" s="6">
        <f>(60*B35/'AR5 Gear Ratios'!$D$3)*(('AR5 Gear Ratios'!$B$12*3.14)/63360)</f>
        <v>29.649605867978046</v>
      </c>
      <c r="N35" s="6">
        <f>(60*B35/'AR5 Gear Ratios'!$D$4)*(('AR5 Gear Ratios'!$B$12*3.14)/63360)</f>
        <v>48.911028658124366</v>
      </c>
      <c r="O35" s="6">
        <f>(60*B35/'AR5 Gear Ratios'!$D$5)*(('AR5 Gear Ratios'!$B$12*3.14)/63360)</f>
        <v>67.008109261630381</v>
      </c>
      <c r="P35" s="6">
        <f>(60*B35/'AR5 Gear Ratios'!$D$6)*(('AR5 Gear Ratios'!$B$12*3.14)/63360)</f>
        <v>91.791930495384094</v>
      </c>
    </row>
    <row r="36" spans="1:16" x14ac:dyDescent="0.3">
      <c r="A36" s="2">
        <v>33</v>
      </c>
      <c r="B36" s="2">
        <v>3300</v>
      </c>
      <c r="C36" s="6">
        <f t="shared" si="0"/>
        <v>55</v>
      </c>
      <c r="D36" s="6">
        <f t="shared" si="1"/>
        <v>345.40000000000003</v>
      </c>
      <c r="E36" s="6">
        <f t="shared" ref="E36:E63" si="7">(B36/$B$63)*$T$2</f>
        <v>151.25</v>
      </c>
      <c r="F36" s="6">
        <f t="shared" si="5"/>
        <v>83187.5</v>
      </c>
      <c r="G36" s="7">
        <f t="shared" si="3"/>
        <v>112787.125</v>
      </c>
      <c r="H36" s="6">
        <f t="shared" ref="H36:H66" si="8">F36/D36</f>
        <v>240.84394904458597</v>
      </c>
      <c r="I36" s="6">
        <f>SQRT((G36*2)/'Acceleration Inputs'!$C$8)</f>
        <v>15.768655484060778</v>
      </c>
      <c r="J36" s="6">
        <f t="shared" si="6"/>
        <v>35.258713662359902</v>
      </c>
      <c r="K36" s="5">
        <f>AVERAGE($J$4:J36)</f>
        <v>24.002715785275544</v>
      </c>
      <c r="L36" s="6">
        <f>(60*B36/'AR5 Gear Ratios'!$D$2)*(('AR5 Gear Ratios'!$B$12*3.14)/63360)</f>
        <v>18.427230046948356</v>
      </c>
      <c r="M36" s="6">
        <f>(60*B36/'AR5 Gear Ratios'!$D$3)*(('AR5 Gear Ratios'!$B$12*3.14)/63360)</f>
        <v>30.57615605135236</v>
      </c>
      <c r="N36" s="6">
        <f>(60*B36/'AR5 Gear Ratios'!$D$4)*(('AR5 Gear Ratios'!$B$12*3.14)/63360)</f>
        <v>50.439498303690755</v>
      </c>
      <c r="O36" s="6">
        <f>(60*B36/'AR5 Gear Ratios'!$D$5)*(('AR5 Gear Ratios'!$B$12*3.14)/63360)</f>
        <v>69.102112676056336</v>
      </c>
      <c r="P36" s="6">
        <f>(60*B36/'AR5 Gear Ratios'!$D$6)*(('AR5 Gear Ratios'!$B$12*3.14)/63360)</f>
        <v>94.66042832336484</v>
      </c>
    </row>
    <row r="37" spans="1:16" x14ac:dyDescent="0.3">
      <c r="A37" s="2">
        <v>34</v>
      </c>
      <c r="B37" s="2">
        <v>3400</v>
      </c>
      <c r="C37" s="6">
        <f t="shared" si="0"/>
        <v>56.666666666666664</v>
      </c>
      <c r="D37" s="6">
        <f t="shared" si="1"/>
        <v>355.86666666666667</v>
      </c>
      <c r="E37" s="6">
        <f t="shared" si="7"/>
        <v>155.83333333333334</v>
      </c>
      <c r="F37" s="6">
        <f t="shared" si="5"/>
        <v>85708.333333333343</v>
      </c>
      <c r="G37" s="7">
        <f t="shared" si="3"/>
        <v>116204.91666666669</v>
      </c>
      <c r="H37" s="6">
        <f t="shared" si="8"/>
        <v>240.843949044586</v>
      </c>
      <c r="I37" s="6">
        <f>SQRT((G37*2)/'Acceleration Inputs'!$C$8)</f>
        <v>16.005791429458696</v>
      </c>
      <c r="J37" s="6">
        <f t="shared" si="6"/>
        <v>35.788949636269649</v>
      </c>
      <c r="K37" s="5">
        <f>AVERAGE($J$4:J37)</f>
        <v>24.34936972206949</v>
      </c>
      <c r="L37" s="6">
        <f>(60*B37/'AR5 Gear Ratios'!$D$2)*(('AR5 Gear Ratios'!$B$12*3.14)/63360)</f>
        <v>18.985630957461943</v>
      </c>
      <c r="M37" s="6">
        <f>(60*B37/'AR5 Gear Ratios'!$D$3)*(('AR5 Gear Ratios'!$B$12*3.14)/63360)</f>
        <v>31.502706234726677</v>
      </c>
      <c r="N37" s="6">
        <f>(60*B37/'AR5 Gear Ratios'!$D$4)*(('AR5 Gear Ratios'!$B$12*3.14)/63360)</f>
        <v>51.967967949257144</v>
      </c>
      <c r="O37" s="6">
        <f>(60*B37/'AR5 Gear Ratios'!$D$5)*(('AR5 Gear Ratios'!$B$12*3.14)/63360)</f>
        <v>71.196116090482292</v>
      </c>
      <c r="P37" s="6">
        <f>(60*B37/'AR5 Gear Ratios'!$D$6)*(('AR5 Gear Ratios'!$B$12*3.14)/63360)</f>
        <v>97.528926151345601</v>
      </c>
    </row>
    <row r="38" spans="1:16" x14ac:dyDescent="0.3">
      <c r="A38" s="2">
        <v>35</v>
      </c>
      <c r="B38" s="2">
        <v>3500</v>
      </c>
      <c r="C38" s="6">
        <f t="shared" si="0"/>
        <v>58.333333333333336</v>
      </c>
      <c r="D38" s="6">
        <f t="shared" si="1"/>
        <v>366.33333333333337</v>
      </c>
      <c r="E38" s="6">
        <f t="shared" si="7"/>
        <v>160.41666666666669</v>
      </c>
      <c r="F38" s="6">
        <f t="shared" si="5"/>
        <v>88229.166666666672</v>
      </c>
      <c r="G38" s="7">
        <f t="shared" si="3"/>
        <v>119622.70833333336</v>
      </c>
      <c r="H38" s="6">
        <f t="shared" si="8"/>
        <v>240.84394904458597</v>
      </c>
      <c r="I38" s="6">
        <f>SQRT((G38*2)/'Acceleration Inputs'!$C$8)</f>
        <v>16.239464978615114</v>
      </c>
      <c r="J38" s="6">
        <f t="shared" si="6"/>
        <v>36.311443692183396</v>
      </c>
      <c r="K38" s="5">
        <f>AVERAGE($J$4:J38)</f>
        <v>24.691143264072743</v>
      </c>
      <c r="L38" s="6">
        <f>(60*B38/'AR5 Gear Ratios'!$D$2)*(('AR5 Gear Ratios'!$B$12*3.14)/63360)</f>
        <v>19.54403186797553</v>
      </c>
      <c r="M38" s="6">
        <f>(60*B38/'AR5 Gear Ratios'!$D$3)*(('AR5 Gear Ratios'!$B$12*3.14)/63360)</f>
        <v>32.429256418100991</v>
      </c>
      <c r="N38" s="6">
        <f>(60*B38/'AR5 Gear Ratios'!$D$4)*(('AR5 Gear Ratios'!$B$12*3.14)/63360)</f>
        <v>53.496437594823526</v>
      </c>
      <c r="O38" s="6">
        <f>(60*B38/'AR5 Gear Ratios'!$D$5)*(('AR5 Gear Ratios'!$B$12*3.14)/63360)</f>
        <v>73.290119504908233</v>
      </c>
      <c r="P38" s="6">
        <f>(60*B38/'AR5 Gear Ratios'!$D$6)*(('AR5 Gear Ratios'!$B$12*3.14)/63360)</f>
        <v>100.39742397932636</v>
      </c>
    </row>
    <row r="39" spans="1:16" x14ac:dyDescent="0.3">
      <c r="A39" s="2">
        <v>36</v>
      </c>
      <c r="B39" s="2">
        <v>3600</v>
      </c>
      <c r="C39" s="6">
        <f t="shared" si="0"/>
        <v>60</v>
      </c>
      <c r="D39" s="6">
        <f t="shared" si="1"/>
        <v>376.8</v>
      </c>
      <c r="E39" s="6">
        <f t="shared" si="7"/>
        <v>165</v>
      </c>
      <c r="F39" s="6">
        <f t="shared" si="5"/>
        <v>90750</v>
      </c>
      <c r="G39" s="7">
        <f t="shared" si="3"/>
        <v>123040.50000000001</v>
      </c>
      <c r="H39" s="6">
        <f t="shared" si="8"/>
        <v>240.84394904458597</v>
      </c>
      <c r="I39" s="6">
        <f>SQRT((G39*2)/'Acceleration Inputs'!$C$8)</f>
        <v>16.469823505429559</v>
      </c>
      <c r="J39" s="6">
        <f t="shared" si="6"/>
        <v>36.826525358140501</v>
      </c>
      <c r="K39" s="5">
        <f>AVERAGE($J$4:J39)</f>
        <v>25.028237211130183</v>
      </c>
      <c r="L39" s="6">
        <f>(60*B39/'AR5 Gear Ratios'!$D$2)*(('AR5 Gear Ratios'!$B$12*3.14)/63360)</f>
        <v>20.102432778489117</v>
      </c>
      <c r="M39" s="6">
        <f>(60*B39/'AR5 Gear Ratios'!$D$3)*(('AR5 Gear Ratios'!$B$12*3.14)/63360)</f>
        <v>33.355806601475301</v>
      </c>
      <c r="N39" s="6">
        <f>(60*B39/'AR5 Gear Ratios'!$D$4)*(('AR5 Gear Ratios'!$B$12*3.14)/63360)</f>
        <v>55.024907240389915</v>
      </c>
      <c r="O39" s="6">
        <f>(60*B39/'AR5 Gear Ratios'!$D$5)*(('AR5 Gear Ratios'!$B$12*3.14)/63360)</f>
        <v>75.384122919334189</v>
      </c>
      <c r="P39" s="6">
        <f>(60*B39/'AR5 Gear Ratios'!$D$6)*(('AR5 Gear Ratios'!$B$12*3.14)/63360)</f>
        <v>103.26592180730711</v>
      </c>
    </row>
    <row r="40" spans="1:16" x14ac:dyDescent="0.3">
      <c r="A40" s="2">
        <v>37</v>
      </c>
      <c r="B40" s="2">
        <v>3700</v>
      </c>
      <c r="C40" s="6">
        <f t="shared" si="0"/>
        <v>61.666666666666664</v>
      </c>
      <c r="D40" s="6">
        <f t="shared" si="1"/>
        <v>387.26666666666665</v>
      </c>
      <c r="E40" s="6">
        <f t="shared" si="7"/>
        <v>169.58333333333334</v>
      </c>
      <c r="F40" s="6">
        <f t="shared" si="5"/>
        <v>93270.833333333343</v>
      </c>
      <c r="G40" s="7">
        <f t="shared" si="3"/>
        <v>126458.29166666669</v>
      </c>
      <c r="H40" s="6">
        <f t="shared" si="8"/>
        <v>240.84394904458603</v>
      </c>
      <c r="I40" s="6">
        <f>SQRT((G40*2)/'Acceleration Inputs'!$C$8)</f>
        <v>16.697004216575301</v>
      </c>
      <c r="J40" s="6">
        <f t="shared" si="6"/>
        <v>37.334501428262378</v>
      </c>
      <c r="K40" s="5">
        <f>AVERAGE($J$4:J40)</f>
        <v>25.360838946728347</v>
      </c>
      <c r="L40" s="6">
        <f>(60*B40/'AR5 Gear Ratios'!$D$2)*(('AR5 Gear Ratios'!$B$12*3.14)/63360)</f>
        <v>20.6608336890027</v>
      </c>
      <c r="M40" s="6">
        <f>(60*B40/'AR5 Gear Ratios'!$D$3)*(('AR5 Gear Ratios'!$B$12*3.14)/63360)</f>
        <v>34.282356784849618</v>
      </c>
      <c r="N40" s="6">
        <f>(60*B40/'AR5 Gear Ratios'!$D$4)*(('AR5 Gear Ratios'!$B$12*3.14)/63360)</f>
        <v>56.553376885956297</v>
      </c>
      <c r="O40" s="6">
        <f>(60*B40/'AR5 Gear Ratios'!$D$5)*(('AR5 Gear Ratios'!$B$12*3.14)/63360)</f>
        <v>77.47812633376013</v>
      </c>
      <c r="P40" s="6">
        <f>(60*B40/'AR5 Gear Ratios'!$D$6)*(('AR5 Gear Ratios'!$B$12*3.14)/63360)</f>
        <v>106.13441963528786</v>
      </c>
    </row>
    <row r="41" spans="1:16" x14ac:dyDescent="0.3">
      <c r="A41" s="2">
        <v>38</v>
      </c>
      <c r="B41" s="2">
        <v>3800</v>
      </c>
      <c r="C41" s="6">
        <f t="shared" si="0"/>
        <v>63.333333333333336</v>
      </c>
      <c r="D41" s="6">
        <f t="shared" si="1"/>
        <v>397.73333333333335</v>
      </c>
      <c r="E41" s="6">
        <f t="shared" si="7"/>
        <v>174.16666666666666</v>
      </c>
      <c r="F41" s="6">
        <f t="shared" si="5"/>
        <v>95791.666666666657</v>
      </c>
      <c r="G41" s="7">
        <f t="shared" si="3"/>
        <v>129876.08333333333</v>
      </c>
      <c r="H41" s="6">
        <f t="shared" si="8"/>
        <v>240.84394904458594</v>
      </c>
      <c r="I41" s="6">
        <f>SQRT((G41*2)/'Acceleration Inputs'!$C$8)</f>
        <v>16.921135107216262</v>
      </c>
      <c r="J41" s="6">
        <f t="shared" si="6"/>
        <v>37.835658099735568</v>
      </c>
      <c r="K41" s="5">
        <f>AVERAGE($J$4:J41)</f>
        <v>25.689123661281172</v>
      </c>
      <c r="L41" s="6">
        <f>(60*B41/'AR5 Gear Ratios'!$D$2)*(('AR5 Gear Ratios'!$B$12*3.14)/63360)</f>
        <v>21.219234599516287</v>
      </c>
      <c r="M41" s="6">
        <f>(60*B41/'AR5 Gear Ratios'!$D$3)*(('AR5 Gear Ratios'!$B$12*3.14)/63360)</f>
        <v>35.208906968223936</v>
      </c>
      <c r="N41" s="6">
        <f>(60*B41/'AR5 Gear Ratios'!$D$4)*(('AR5 Gear Ratios'!$B$12*3.14)/63360)</f>
        <v>58.081846531522686</v>
      </c>
      <c r="O41" s="6">
        <f>(60*B41/'AR5 Gear Ratios'!$D$5)*(('AR5 Gear Ratios'!$B$12*3.14)/63360)</f>
        <v>79.572129748186086</v>
      </c>
      <c r="P41" s="6">
        <f>(60*B41/'AR5 Gear Ratios'!$D$6)*(('AR5 Gear Ratios'!$B$12*3.14)/63360)</f>
        <v>109.00291746326862</v>
      </c>
    </row>
    <row r="42" spans="1:16" x14ac:dyDescent="0.3">
      <c r="A42" s="2">
        <v>39</v>
      </c>
      <c r="B42" s="2">
        <v>3900</v>
      </c>
      <c r="C42" s="6">
        <f t="shared" si="0"/>
        <v>65</v>
      </c>
      <c r="D42" s="6">
        <f t="shared" si="1"/>
        <v>408.2</v>
      </c>
      <c r="E42" s="6">
        <f t="shared" si="7"/>
        <v>178.75</v>
      </c>
      <c r="F42" s="6">
        <f t="shared" si="5"/>
        <v>98312.5</v>
      </c>
      <c r="G42" s="7">
        <f t="shared" si="3"/>
        <v>133293.875</v>
      </c>
      <c r="H42" s="6">
        <f t="shared" si="8"/>
        <v>240.843949044586</v>
      </c>
      <c r="I42" s="6">
        <f>SQRT((G42*2)/'Acceleration Inputs'!$C$8)</f>
        <v>17.142335804230413</v>
      </c>
      <c r="J42" s="6">
        <f t="shared" si="6"/>
        <v>38.330262858259211</v>
      </c>
      <c r="K42" s="5">
        <f>AVERAGE($J$4:J42)</f>
        <v>26.013255435562659</v>
      </c>
      <c r="L42" s="6">
        <f>(60*B42/'AR5 Gear Ratios'!$D$2)*(('AR5 Gear Ratios'!$B$12*3.14)/63360)</f>
        <v>21.777635510029878</v>
      </c>
      <c r="M42" s="6">
        <f>(60*B42/'AR5 Gear Ratios'!$D$3)*(('AR5 Gear Ratios'!$B$12*3.14)/63360)</f>
        <v>36.135457151598246</v>
      </c>
      <c r="N42" s="6">
        <f>(60*B42/'AR5 Gear Ratios'!$D$4)*(('AR5 Gear Ratios'!$B$12*3.14)/63360)</f>
        <v>59.610316177089068</v>
      </c>
      <c r="O42" s="6">
        <f>(60*B42/'AR5 Gear Ratios'!$D$5)*(('AR5 Gear Ratios'!$B$12*3.14)/63360)</f>
        <v>81.666133162612027</v>
      </c>
      <c r="P42" s="6">
        <f>(60*B42/'AR5 Gear Ratios'!$D$6)*(('AR5 Gear Ratios'!$B$12*3.14)/63360)</f>
        <v>111.87141529124936</v>
      </c>
    </row>
    <row r="43" spans="1:16" x14ac:dyDescent="0.3">
      <c r="A43" s="2">
        <v>40</v>
      </c>
      <c r="B43" s="2">
        <v>4000</v>
      </c>
      <c r="C43" s="6">
        <f t="shared" si="0"/>
        <v>66.666666666666671</v>
      </c>
      <c r="D43" s="6">
        <f t="shared" si="1"/>
        <v>418.66666666666669</v>
      </c>
      <c r="E43" s="6">
        <f t="shared" si="7"/>
        <v>183.33333333333331</v>
      </c>
      <c r="F43" s="6">
        <f t="shared" si="5"/>
        <v>100833.33333333333</v>
      </c>
      <c r="G43" s="7">
        <f t="shared" si="3"/>
        <v>136711.66666666666</v>
      </c>
      <c r="H43" s="6">
        <f t="shared" si="8"/>
        <v>240.84394904458597</v>
      </c>
      <c r="I43" s="6">
        <f>SQRT((G43*2)/'Acceleration Inputs'!$C$8)</f>
        <v>17.360718312711988</v>
      </c>
      <c r="J43" s="6">
        <f t="shared" si="6"/>
        <v>38.818566147224011</v>
      </c>
      <c r="K43" s="5">
        <f>AVERAGE($J$4:J43)</f>
        <v>26.33338820335419</v>
      </c>
      <c r="L43" s="6">
        <f>(60*B43/'AR5 Gear Ratios'!$D$2)*(('AR5 Gear Ratios'!$B$12*3.14)/63360)</f>
        <v>22.336036420543461</v>
      </c>
      <c r="M43" s="6">
        <f>(60*B43/'AR5 Gear Ratios'!$D$3)*(('AR5 Gear Ratios'!$B$12*3.14)/63360)</f>
        <v>37.062007334972556</v>
      </c>
      <c r="N43" s="6">
        <f>(60*B43/'AR5 Gear Ratios'!$D$4)*(('AR5 Gear Ratios'!$B$12*3.14)/63360)</f>
        <v>61.138785822655457</v>
      </c>
      <c r="O43" s="6">
        <f>(60*B43/'AR5 Gear Ratios'!$D$5)*(('AR5 Gear Ratios'!$B$12*3.14)/63360)</f>
        <v>83.760136577037997</v>
      </c>
      <c r="P43" s="6">
        <f>(60*B43/'AR5 Gear Ratios'!$D$6)*(('AR5 Gear Ratios'!$B$12*3.14)/63360)</f>
        <v>114.73991311923011</v>
      </c>
    </row>
    <row r="44" spans="1:16" x14ac:dyDescent="0.3">
      <c r="A44" s="2">
        <v>41</v>
      </c>
      <c r="B44" s="2">
        <v>4100</v>
      </c>
      <c r="C44" s="6">
        <f t="shared" si="0"/>
        <v>68.333333333333329</v>
      </c>
      <c r="D44" s="6">
        <f t="shared" si="1"/>
        <v>429.13333333333333</v>
      </c>
      <c r="E44" s="6">
        <f t="shared" si="7"/>
        <v>187.91666666666666</v>
      </c>
      <c r="F44" s="6">
        <f t="shared" si="5"/>
        <v>103354.16666666666</v>
      </c>
      <c r="G44" s="7">
        <f t="shared" si="3"/>
        <v>140129.45833333334</v>
      </c>
      <c r="H44" s="6">
        <f t="shared" si="8"/>
        <v>240.84394904458597</v>
      </c>
      <c r="I44" s="6">
        <f>SQRT((G44*2)/'Acceleration Inputs'!$C$8)</f>
        <v>17.576387678976211</v>
      </c>
      <c r="J44" s="6">
        <f t="shared" si="6"/>
        <v>39.300802850190813</v>
      </c>
      <c r="K44" s="5">
        <f>AVERAGE($J$4:J44)</f>
        <v>26.649666609374595</v>
      </c>
      <c r="L44" s="6">
        <f>(60*B44/'AR5 Gear Ratios'!$D$2)*(('AR5 Gear Ratios'!$B$12*3.14)/63360)</f>
        <v>22.894437331057048</v>
      </c>
      <c r="M44" s="6">
        <f>(60*B44/'AR5 Gear Ratios'!$D$3)*(('AR5 Gear Ratios'!$B$12*3.14)/63360)</f>
        <v>37.988557518346873</v>
      </c>
      <c r="N44" s="6">
        <f>(60*B44/'AR5 Gear Ratios'!$D$4)*(('AR5 Gear Ratios'!$B$12*3.14)/63360)</f>
        <v>62.667255468221846</v>
      </c>
      <c r="O44" s="6">
        <f>(60*B44/'AR5 Gear Ratios'!$D$5)*(('AR5 Gear Ratios'!$B$12*3.14)/63360)</f>
        <v>85.854139991463938</v>
      </c>
      <c r="P44" s="6">
        <f>(60*B44/'AR5 Gear Ratios'!$D$6)*(('AR5 Gear Ratios'!$B$12*3.14)/63360)</f>
        <v>117.60841094721087</v>
      </c>
    </row>
    <row r="45" spans="1:16" x14ac:dyDescent="0.3">
      <c r="A45" s="2">
        <v>42</v>
      </c>
      <c r="B45" s="2">
        <v>4200</v>
      </c>
      <c r="C45" s="6">
        <f t="shared" si="0"/>
        <v>70</v>
      </c>
      <c r="D45" s="6">
        <f t="shared" si="1"/>
        <v>439.6</v>
      </c>
      <c r="E45" s="6">
        <f t="shared" si="7"/>
        <v>192.5</v>
      </c>
      <c r="F45" s="6">
        <f t="shared" si="5"/>
        <v>105875</v>
      </c>
      <c r="G45" s="7">
        <f t="shared" si="3"/>
        <v>143547.25</v>
      </c>
      <c r="H45" s="6">
        <f t="shared" si="8"/>
        <v>240.84394904458597</v>
      </c>
      <c r="I45" s="6">
        <f>SQRT((G45*2)/'Acceleration Inputs'!$C$8)</f>
        <v>17.789442581205293</v>
      </c>
      <c r="J45" s="6">
        <f t="shared" si="6"/>
        <v>39.777193611575036</v>
      </c>
      <c r="K45" s="5">
        <f>AVERAGE($J$4:J45)</f>
        <v>26.962226776093654</v>
      </c>
      <c r="L45" s="6">
        <f>(60*B45/'AR5 Gear Ratios'!$D$2)*(('AR5 Gear Ratios'!$B$12*3.14)/63360)</f>
        <v>23.452838241570635</v>
      </c>
      <c r="M45" s="6">
        <f>(60*B45/'AR5 Gear Ratios'!$D$3)*(('AR5 Gear Ratios'!$B$12*3.14)/63360)</f>
        <v>38.91510770172119</v>
      </c>
      <c r="N45" s="6">
        <f>(60*B45/'AR5 Gear Ratios'!$D$4)*(('AR5 Gear Ratios'!$B$12*3.14)/63360)</f>
        <v>64.195725113788228</v>
      </c>
      <c r="O45" s="6">
        <f>(60*B45/'AR5 Gear Ratios'!$D$5)*(('AR5 Gear Ratios'!$B$12*3.14)/63360)</f>
        <v>87.94814340588988</v>
      </c>
      <c r="P45" s="6">
        <f>(60*B45/'AR5 Gear Ratios'!$D$6)*(('AR5 Gear Ratios'!$B$12*3.14)/63360)</f>
        <v>120.47690877519162</v>
      </c>
    </row>
    <row r="46" spans="1:16" x14ac:dyDescent="0.3">
      <c r="A46" s="2">
        <v>43</v>
      </c>
      <c r="B46" s="2">
        <v>4300</v>
      </c>
      <c r="C46" s="6">
        <f t="shared" si="0"/>
        <v>71.666666666666671</v>
      </c>
      <c r="D46" s="6">
        <f t="shared" si="1"/>
        <v>450.06666666666672</v>
      </c>
      <c r="E46" s="6">
        <f t="shared" si="7"/>
        <v>197.08333333333334</v>
      </c>
      <c r="F46" s="6">
        <f t="shared" si="5"/>
        <v>108395.83333333334</v>
      </c>
      <c r="G46" s="7">
        <f t="shared" si="3"/>
        <v>146965.04166666669</v>
      </c>
      <c r="H46" s="6">
        <f t="shared" si="8"/>
        <v>240.84394904458597</v>
      </c>
      <c r="I46" s="6">
        <f>SQRT((G46*2)/'Acceleration Inputs'!$C$8)</f>
        <v>17.999975857159736</v>
      </c>
      <c r="J46" s="6">
        <f t="shared" si="6"/>
        <v>40.247946016609177</v>
      </c>
      <c r="K46" s="5">
        <f>AVERAGE($J$4:J46)</f>
        <v>27.271196990989363</v>
      </c>
      <c r="L46" s="6">
        <f>(60*B46/'AR5 Gear Ratios'!$D$2)*(('AR5 Gear Ratios'!$B$12*3.14)/63360)</f>
        <v>24.011239152084219</v>
      </c>
      <c r="M46" s="6">
        <f>(60*B46/'AR5 Gear Ratios'!$D$3)*(('AR5 Gear Ratios'!$B$12*3.14)/63360)</f>
        <v>39.841657885095501</v>
      </c>
      <c r="N46" s="6">
        <f>(60*B46/'AR5 Gear Ratios'!$D$4)*(('AR5 Gear Ratios'!$B$12*3.14)/63360)</f>
        <v>65.724194759354617</v>
      </c>
      <c r="O46" s="6">
        <f>(60*B46/'AR5 Gear Ratios'!$D$5)*(('AR5 Gear Ratios'!$B$12*3.14)/63360)</f>
        <v>90.042146820315835</v>
      </c>
      <c r="P46" s="6">
        <f>(60*B46/'AR5 Gear Ratios'!$D$6)*(('AR5 Gear Ratios'!$B$12*3.14)/63360)</f>
        <v>123.34540660317236</v>
      </c>
    </row>
    <row r="47" spans="1:16" x14ac:dyDescent="0.3">
      <c r="A47" s="2">
        <v>44</v>
      </c>
      <c r="B47" s="2">
        <v>4400</v>
      </c>
      <c r="C47" s="6">
        <f t="shared" si="0"/>
        <v>73.333333333333329</v>
      </c>
      <c r="D47" s="6">
        <f t="shared" si="1"/>
        <v>460.5333333333333</v>
      </c>
      <c r="E47" s="6">
        <f t="shared" si="7"/>
        <v>201.66666666666666</v>
      </c>
      <c r="F47" s="6">
        <f t="shared" si="5"/>
        <v>110916.66666666666</v>
      </c>
      <c r="G47" s="7">
        <f t="shared" si="3"/>
        <v>150382.83333333334</v>
      </c>
      <c r="H47" s="6">
        <f t="shared" si="8"/>
        <v>240.84394904458597</v>
      </c>
      <c r="I47" s="6">
        <f>SQRT((G47*2)/'Acceleration Inputs'!$C$8)</f>
        <v>18.208074976961917</v>
      </c>
      <c r="J47" s="6">
        <f t="shared" si="6"/>
        <v>40.71325564848685</v>
      </c>
      <c r="K47" s="5">
        <f>AVERAGE($J$4:J47)</f>
        <v>27.576698324114307</v>
      </c>
      <c r="L47" s="6">
        <f>(60*B47/'AR5 Gear Ratios'!$D$2)*(('AR5 Gear Ratios'!$B$12*3.14)/63360)</f>
        <v>24.569640062597809</v>
      </c>
      <c r="M47" s="6">
        <f>(60*B47/'AR5 Gear Ratios'!$D$3)*(('AR5 Gear Ratios'!$B$12*3.14)/63360)</f>
        <v>40.768208068469818</v>
      </c>
      <c r="N47" s="6">
        <f>(60*B47/'AR5 Gear Ratios'!$D$4)*(('AR5 Gear Ratios'!$B$12*3.14)/63360)</f>
        <v>67.252664404921006</v>
      </c>
      <c r="O47" s="6">
        <f>(60*B47/'AR5 Gear Ratios'!$D$5)*(('AR5 Gear Ratios'!$B$12*3.14)/63360)</f>
        <v>92.136150234741791</v>
      </c>
      <c r="P47" s="6">
        <f>(60*B47/'AR5 Gear Ratios'!$D$6)*(('AR5 Gear Ratios'!$B$12*3.14)/63360)</f>
        <v>126.21390443115314</v>
      </c>
    </row>
    <row r="48" spans="1:16" x14ac:dyDescent="0.3">
      <c r="A48" s="2">
        <v>45</v>
      </c>
      <c r="B48" s="2">
        <v>4500</v>
      </c>
      <c r="C48" s="6">
        <f t="shared" si="0"/>
        <v>75</v>
      </c>
      <c r="D48" s="6">
        <f t="shared" si="1"/>
        <v>471</v>
      </c>
      <c r="E48" s="6">
        <f t="shared" si="7"/>
        <v>206.25</v>
      </c>
      <c r="F48" s="6">
        <f t="shared" si="5"/>
        <v>113437.5</v>
      </c>
      <c r="G48" s="7">
        <f t="shared" si="3"/>
        <v>153800.625</v>
      </c>
      <c r="H48" s="6">
        <f t="shared" si="8"/>
        <v>240.843949044586</v>
      </c>
      <c r="I48" s="6">
        <f>SQRT((G48*2)/'Acceleration Inputs'!$C$8)</f>
        <v>18.413822467782186</v>
      </c>
      <c r="J48" s="6">
        <f t="shared" si="6"/>
        <v>41.173307037960974</v>
      </c>
      <c r="K48" s="5">
        <f>AVERAGE($J$4:J48)</f>
        <v>27.878845184422012</v>
      </c>
      <c r="L48" s="6">
        <f>(60*B48/'AR5 Gear Ratios'!$D$2)*(('AR5 Gear Ratios'!$B$12*3.14)/63360)</f>
        <v>25.128040973111396</v>
      </c>
      <c r="M48" s="6">
        <f>(60*B48/'AR5 Gear Ratios'!$D$3)*(('AR5 Gear Ratios'!$B$12*3.14)/63360)</f>
        <v>41.694758251844128</v>
      </c>
      <c r="N48" s="6">
        <f>(60*B48/'AR5 Gear Ratios'!$D$4)*(('AR5 Gear Ratios'!$B$12*3.14)/63360)</f>
        <v>68.781134050487395</v>
      </c>
      <c r="O48" s="6">
        <f>(60*B48/'AR5 Gear Ratios'!$D$5)*(('AR5 Gear Ratios'!$B$12*3.14)/63360)</f>
        <v>94.230153649167733</v>
      </c>
      <c r="P48" s="6">
        <f>(60*B48/'AR5 Gear Ratios'!$D$6)*(('AR5 Gear Ratios'!$B$12*3.14)/63360)</f>
        <v>129.08240225913389</v>
      </c>
    </row>
    <row r="49" spans="1:16" x14ac:dyDescent="0.3">
      <c r="A49" s="2">
        <v>46</v>
      </c>
      <c r="B49" s="2">
        <v>4600</v>
      </c>
      <c r="C49" s="6">
        <f t="shared" si="0"/>
        <v>76.666666666666671</v>
      </c>
      <c r="D49" s="6">
        <f t="shared" si="1"/>
        <v>481.4666666666667</v>
      </c>
      <c r="E49" s="6">
        <f t="shared" si="7"/>
        <v>210.83333333333334</v>
      </c>
      <c r="F49" s="6">
        <f t="shared" si="5"/>
        <v>115958.33333333334</v>
      </c>
      <c r="G49" s="7">
        <f t="shared" si="3"/>
        <v>157218.41666666669</v>
      </c>
      <c r="H49" s="6">
        <f t="shared" si="8"/>
        <v>240.843949044586</v>
      </c>
      <c r="I49" s="6">
        <f>SQRT((G49*2)/'Acceleration Inputs'!$C$8)</f>
        <v>18.617296296276038</v>
      </c>
      <c r="J49" s="6">
        <f t="shared" si="6"/>
        <v>41.628274518473226</v>
      </c>
      <c r="K49" s="5">
        <f>AVERAGE($J$4:J49)</f>
        <v>28.177745822118776</v>
      </c>
      <c r="L49" s="6">
        <f>(60*B49/'AR5 Gear Ratios'!$D$2)*(('AR5 Gear Ratios'!$B$12*3.14)/63360)</f>
        <v>25.68644188362498</v>
      </c>
      <c r="M49" s="6">
        <f>(60*B49/'AR5 Gear Ratios'!$D$3)*(('AR5 Gear Ratios'!$B$12*3.14)/63360)</f>
        <v>42.621308435218438</v>
      </c>
      <c r="N49" s="6">
        <f>(60*B49/'AR5 Gear Ratios'!$D$4)*(('AR5 Gear Ratios'!$B$12*3.14)/63360)</f>
        <v>70.309603696053784</v>
      </c>
      <c r="O49" s="6">
        <f>(60*B49/'AR5 Gear Ratios'!$D$5)*(('AR5 Gear Ratios'!$B$12*3.14)/63360)</f>
        <v>96.324157063593674</v>
      </c>
      <c r="P49" s="6">
        <f>(60*B49/'AR5 Gear Ratios'!$D$6)*(('AR5 Gear Ratios'!$B$12*3.14)/63360)</f>
        <v>131.95090008711463</v>
      </c>
    </row>
    <row r="50" spans="1:16" x14ac:dyDescent="0.3">
      <c r="A50" s="2">
        <v>47</v>
      </c>
      <c r="B50" s="2">
        <v>4700</v>
      </c>
      <c r="C50" s="6">
        <f t="shared" si="0"/>
        <v>78.333333333333329</v>
      </c>
      <c r="D50" s="6">
        <f t="shared" si="1"/>
        <v>491.93333333333334</v>
      </c>
      <c r="E50" s="6">
        <f t="shared" si="7"/>
        <v>215.41666666666666</v>
      </c>
      <c r="F50" s="6">
        <f t="shared" si="5"/>
        <v>118479.16666666666</v>
      </c>
      <c r="G50" s="7">
        <f t="shared" si="3"/>
        <v>160636.20833333334</v>
      </c>
      <c r="H50" s="6">
        <f t="shared" si="8"/>
        <v>240.84394904458597</v>
      </c>
      <c r="I50" s="6">
        <f>SQRT((G50*2)/'Acceleration Inputs'!$C$8)</f>
        <v>18.818570213798569</v>
      </c>
      <c r="J50" s="6">
        <f t="shared" si="6"/>
        <v>42.078322998053608</v>
      </c>
      <c r="K50" s="5">
        <f>AVERAGE($J$4:J50)</f>
        <v>28.473502783308881</v>
      </c>
      <c r="L50" s="6">
        <f>(60*B50/'AR5 Gear Ratios'!$D$2)*(('AR5 Gear Ratios'!$B$12*3.14)/63360)</f>
        <v>26.24484279413857</v>
      </c>
      <c r="M50" s="6">
        <f>(60*B50/'AR5 Gear Ratios'!$D$3)*(('AR5 Gear Ratios'!$B$12*3.14)/63360)</f>
        <v>43.547858618592755</v>
      </c>
      <c r="N50" s="6">
        <f>(60*B50/'AR5 Gear Ratios'!$D$4)*(('AR5 Gear Ratios'!$B$12*3.14)/63360)</f>
        <v>71.838073341620174</v>
      </c>
      <c r="O50" s="6">
        <f>(60*B50/'AR5 Gear Ratios'!$D$5)*(('AR5 Gear Ratios'!$B$12*3.14)/63360)</f>
        <v>98.418160478019644</v>
      </c>
      <c r="P50" s="6">
        <f>(60*B50/'AR5 Gear Ratios'!$D$6)*(('AR5 Gear Ratios'!$B$12*3.14)/63360)</f>
        <v>134.81939791509541</v>
      </c>
    </row>
    <row r="51" spans="1:16" x14ac:dyDescent="0.3">
      <c r="A51" s="2">
        <v>48</v>
      </c>
      <c r="B51" s="2">
        <v>4800</v>
      </c>
      <c r="C51" s="6">
        <f t="shared" si="0"/>
        <v>80</v>
      </c>
      <c r="D51" s="6">
        <f t="shared" si="1"/>
        <v>502.40000000000003</v>
      </c>
      <c r="E51" s="6">
        <f t="shared" si="7"/>
        <v>220</v>
      </c>
      <c r="F51" s="6">
        <f t="shared" si="5"/>
        <v>121000</v>
      </c>
      <c r="G51" s="7">
        <f t="shared" si="3"/>
        <v>164054</v>
      </c>
      <c r="H51" s="6">
        <f t="shared" si="8"/>
        <v>240.84394904458597</v>
      </c>
      <c r="I51" s="6">
        <f>SQRT((G51*2)/'Acceleration Inputs'!$C$8)</f>
        <v>19.017714068730765</v>
      </c>
      <c r="J51" s="6">
        <f t="shared" si="6"/>
        <v>42.523608657681997</v>
      </c>
      <c r="K51" s="5">
        <f>AVERAGE($J$4:J51)</f>
        <v>28.766213322358322</v>
      </c>
      <c r="L51" s="6">
        <f>(60*B51/'AR5 Gear Ratios'!$D$2)*(('AR5 Gear Ratios'!$B$12*3.14)/63360)</f>
        <v>26.803243704652154</v>
      </c>
      <c r="M51" s="6">
        <f>(60*B51/'AR5 Gear Ratios'!$D$3)*(('AR5 Gear Ratios'!$B$12*3.14)/63360)</f>
        <v>44.474408801967073</v>
      </c>
      <c r="N51" s="6">
        <f>(60*B51/'AR5 Gear Ratios'!$D$4)*(('AR5 Gear Ratios'!$B$12*3.14)/63360)</f>
        <v>73.366542987186548</v>
      </c>
      <c r="O51" s="6">
        <f>(60*B51/'AR5 Gear Ratios'!$D$5)*(('AR5 Gear Ratios'!$B$12*3.14)/63360)</f>
        <v>100.51216389244559</v>
      </c>
      <c r="P51" s="6">
        <f>(60*B51/'AR5 Gear Ratios'!$D$6)*(('AR5 Gear Ratios'!$B$12*3.14)/63360)</f>
        <v>137.68789574307615</v>
      </c>
    </row>
    <row r="52" spans="1:16" x14ac:dyDescent="0.3">
      <c r="A52" s="2">
        <v>49</v>
      </c>
      <c r="B52" s="2">
        <v>4900</v>
      </c>
      <c r="C52" s="6">
        <f t="shared" si="0"/>
        <v>81.666666666666671</v>
      </c>
      <c r="D52" s="6">
        <f t="shared" si="1"/>
        <v>512.86666666666667</v>
      </c>
      <c r="E52" s="6">
        <f t="shared" si="7"/>
        <v>224.58333333333334</v>
      </c>
      <c r="F52" s="6">
        <f t="shared" si="5"/>
        <v>123520.83333333334</v>
      </c>
      <c r="G52" s="7">
        <f t="shared" si="3"/>
        <v>167471.79166666669</v>
      </c>
      <c r="H52" s="6">
        <f t="shared" si="8"/>
        <v>240.843949044586</v>
      </c>
      <c r="I52" s="6">
        <f>SQRT((G52*2)/'Acceleration Inputs'!$C$8)</f>
        <v>19.214794089667819</v>
      </c>
      <c r="J52" s="6">
        <f t="shared" si="6"/>
        <v>42.964279584497248</v>
      </c>
      <c r="K52" s="5">
        <f>AVERAGE($J$4:J52)</f>
        <v>29.055969776687686</v>
      </c>
      <c r="L52" s="6">
        <f>(60*B52/'AR5 Gear Ratios'!$D$2)*(('AR5 Gear Ratios'!$B$12*3.14)/63360)</f>
        <v>27.361644615165741</v>
      </c>
      <c r="M52" s="6">
        <f>(60*B52/'AR5 Gear Ratios'!$D$3)*(('AR5 Gear Ratios'!$B$12*3.14)/63360)</f>
        <v>45.400958985341383</v>
      </c>
      <c r="N52" s="6">
        <f>(60*B52/'AR5 Gear Ratios'!$D$4)*(('AR5 Gear Ratios'!$B$12*3.14)/63360)</f>
        <v>74.895012632752938</v>
      </c>
      <c r="O52" s="6">
        <f>(60*B52/'AR5 Gear Ratios'!$D$5)*(('AR5 Gear Ratios'!$B$12*3.14)/63360)</f>
        <v>102.60616730687153</v>
      </c>
      <c r="P52" s="6">
        <f>(60*B52/'AR5 Gear Ratios'!$D$6)*(('AR5 Gear Ratios'!$B$12*3.14)/63360)</f>
        <v>140.5563935710569</v>
      </c>
    </row>
    <row r="53" spans="1:16" x14ac:dyDescent="0.3">
      <c r="A53" s="2">
        <v>50</v>
      </c>
      <c r="B53" s="2">
        <v>5000</v>
      </c>
      <c r="C53" s="6">
        <f t="shared" si="0"/>
        <v>83.333333333333329</v>
      </c>
      <c r="D53" s="6">
        <f t="shared" si="1"/>
        <v>523.33333333333337</v>
      </c>
      <c r="E53" s="6">
        <f t="shared" si="7"/>
        <v>229.16666666666669</v>
      </c>
      <c r="F53" s="6">
        <f t="shared" si="5"/>
        <v>126041.66666666667</v>
      </c>
      <c r="G53" s="7">
        <f t="shared" si="3"/>
        <v>170889.58333333337</v>
      </c>
      <c r="H53" s="6">
        <f t="shared" si="8"/>
        <v>240.84394904458597</v>
      </c>
      <c r="I53" s="6">
        <f>SQRT((G53*2)/'Acceleration Inputs'!$C$8)</f>
        <v>19.409873142724731</v>
      </c>
      <c r="J53" s="6">
        <f t="shared" si="6"/>
        <v>43.400476347132503</v>
      </c>
      <c r="K53" s="5">
        <f>AVERAGE($J$4:J53)</f>
        <v>29.342859908096585</v>
      </c>
      <c r="L53" s="6">
        <f>(60*B53/'AR5 Gear Ratios'!$D$2)*(('AR5 Gear Ratios'!$B$12*3.14)/63360)</f>
        <v>27.920045525679328</v>
      </c>
      <c r="M53" s="6">
        <f>(60*B53/'AR5 Gear Ratios'!$D$3)*(('AR5 Gear Ratios'!$B$12*3.14)/63360)</f>
        <v>46.3275091687157</v>
      </c>
      <c r="N53" s="6">
        <f>(60*B53/'AR5 Gear Ratios'!$D$4)*(('AR5 Gear Ratios'!$B$12*3.14)/63360)</f>
        <v>76.423482278319327</v>
      </c>
      <c r="O53" s="6">
        <f>(60*B53/'AR5 Gear Ratios'!$D$5)*(('AR5 Gear Ratios'!$B$12*3.14)/63360)</f>
        <v>104.70017072129748</v>
      </c>
      <c r="P53" s="6">
        <f>(60*B53/'AR5 Gear Ratios'!$D$6)*(('AR5 Gear Ratios'!$B$12*3.14)/63360)</f>
        <v>143.42489139903765</v>
      </c>
    </row>
    <row r="54" spans="1:16" x14ac:dyDescent="0.3">
      <c r="A54" s="2">
        <v>51</v>
      </c>
      <c r="B54" s="2">
        <v>5100</v>
      </c>
      <c r="C54" s="6">
        <f t="shared" si="0"/>
        <v>85</v>
      </c>
      <c r="D54" s="6">
        <f t="shared" si="1"/>
        <v>533.80000000000007</v>
      </c>
      <c r="E54" s="6">
        <f t="shared" si="7"/>
        <v>233.75</v>
      </c>
      <c r="F54" s="6">
        <f t="shared" si="5"/>
        <v>128562.5</v>
      </c>
      <c r="G54" s="7">
        <f t="shared" si="3"/>
        <v>174307.375</v>
      </c>
      <c r="H54" s="6">
        <f t="shared" si="8"/>
        <v>240.84394904458597</v>
      </c>
      <c r="I54" s="6">
        <f>SQRT((G54*2)/'Acceleration Inputs'!$C$8)</f>
        <v>19.603010965792986</v>
      </c>
      <c r="J54" s="6">
        <f t="shared" si="6"/>
        <v>43.832332519513123</v>
      </c>
      <c r="K54" s="5">
        <f>AVERAGE($J$4:J54)</f>
        <v>29.626967214202789</v>
      </c>
      <c r="L54" s="6">
        <f>(60*B54/'AR5 Gear Ratios'!$D$2)*(('AR5 Gear Ratios'!$B$12*3.14)/63360)</f>
        <v>28.478446436192911</v>
      </c>
      <c r="M54" s="6">
        <f>(60*B54/'AR5 Gear Ratios'!$D$3)*(('AR5 Gear Ratios'!$B$12*3.14)/63360)</f>
        <v>47.25405935209001</v>
      </c>
      <c r="N54" s="6">
        <f>(60*B54/'AR5 Gear Ratios'!$D$4)*(('AR5 Gear Ratios'!$B$12*3.14)/63360)</f>
        <v>77.951951923885716</v>
      </c>
      <c r="O54" s="6">
        <f>(60*B54/'AR5 Gear Ratios'!$D$5)*(('AR5 Gear Ratios'!$B$12*3.14)/63360)</f>
        <v>106.79417413572344</v>
      </c>
      <c r="P54" s="6">
        <f>(60*B54/'AR5 Gear Ratios'!$D$6)*(('AR5 Gear Ratios'!$B$12*3.14)/63360)</f>
        <v>146.29338922701839</v>
      </c>
    </row>
    <row r="55" spans="1:16" x14ac:dyDescent="0.3">
      <c r="A55" s="2">
        <v>52</v>
      </c>
      <c r="B55" s="2">
        <v>5200</v>
      </c>
      <c r="C55" s="6">
        <f t="shared" si="0"/>
        <v>86.666666666666671</v>
      </c>
      <c r="D55" s="6">
        <f t="shared" si="1"/>
        <v>544.26666666666677</v>
      </c>
      <c r="E55" s="6">
        <f t="shared" si="7"/>
        <v>238.33333333333334</v>
      </c>
      <c r="F55" s="6">
        <f t="shared" si="5"/>
        <v>131083.33333333334</v>
      </c>
      <c r="G55" s="7">
        <f t="shared" si="3"/>
        <v>177725.16666666669</v>
      </c>
      <c r="H55" s="6">
        <f t="shared" si="8"/>
        <v>240.84394904458597</v>
      </c>
      <c r="I55" s="6">
        <f>SQRT((G55*2)/'Acceleration Inputs'!$C$8)</f>
        <v>19.794264382222782</v>
      </c>
      <c r="J55" s="6">
        <f t="shared" si="6"/>
        <v>44.259975158650143</v>
      </c>
      <c r="K55" s="5">
        <f>AVERAGE($J$4:J55)</f>
        <v>29.908371213134469</v>
      </c>
      <c r="L55" s="6">
        <f>(60*B55/'AR5 Gear Ratios'!$D$2)*(('AR5 Gear Ratios'!$B$12*3.14)/63360)</f>
        <v>29.036847346706502</v>
      </c>
      <c r="M55" s="6">
        <f>(60*B55/'AR5 Gear Ratios'!$D$3)*(('AR5 Gear Ratios'!$B$12*3.14)/63360)</f>
        <v>48.180609535464328</v>
      </c>
      <c r="N55" s="6">
        <f>(60*B55/'AR5 Gear Ratios'!$D$4)*(('AR5 Gear Ratios'!$B$12*3.14)/63360)</f>
        <v>79.480421569452091</v>
      </c>
      <c r="O55" s="6">
        <f>(60*B55/'AR5 Gear Ratios'!$D$5)*(('AR5 Gear Ratios'!$B$12*3.14)/63360)</f>
        <v>108.88817755014938</v>
      </c>
      <c r="P55" s="6">
        <f>(60*B55/'AR5 Gear Ratios'!$D$6)*(('AR5 Gear Ratios'!$B$12*3.14)/63360)</f>
        <v>149.16188705499914</v>
      </c>
    </row>
    <row r="56" spans="1:16" x14ac:dyDescent="0.3">
      <c r="A56" s="2">
        <v>53</v>
      </c>
      <c r="B56" s="2">
        <v>5300</v>
      </c>
      <c r="C56" s="6">
        <f t="shared" si="0"/>
        <v>88.333333333333329</v>
      </c>
      <c r="D56" s="6">
        <f t="shared" si="1"/>
        <v>554.73333333333335</v>
      </c>
      <c r="E56" s="6">
        <f t="shared" si="7"/>
        <v>242.91666666666666</v>
      </c>
      <c r="F56" s="6">
        <f t="shared" si="5"/>
        <v>133604.16666666666</v>
      </c>
      <c r="G56" s="7">
        <f t="shared" si="3"/>
        <v>181142.95833333334</v>
      </c>
      <c r="H56" s="6">
        <f t="shared" si="8"/>
        <v>240.84394904458597</v>
      </c>
      <c r="I56" s="6">
        <f>SQRT((G56*2)/'Acceleration Inputs'!$C$8)</f>
        <v>19.98368749609708</v>
      </c>
      <c r="J56" s="6">
        <f t="shared" si="6"/>
        <v>44.683525241273074</v>
      </c>
      <c r="K56" s="5">
        <f>AVERAGE($J$4:J56)</f>
        <v>30.187147704231428</v>
      </c>
      <c r="L56" s="6">
        <f>(60*B56/'AR5 Gear Ratios'!$D$2)*(('AR5 Gear Ratios'!$B$12*3.14)/63360)</f>
        <v>29.595248257220089</v>
      </c>
      <c r="M56" s="6">
        <f>(60*B56/'AR5 Gear Ratios'!$D$3)*(('AR5 Gear Ratios'!$B$12*3.14)/63360)</f>
        <v>49.107159718838645</v>
      </c>
      <c r="N56" s="6">
        <f>(60*B56/'AR5 Gear Ratios'!$D$4)*(('AR5 Gear Ratios'!$B$12*3.14)/63360)</f>
        <v>81.00889121501848</v>
      </c>
      <c r="O56" s="6">
        <f>(60*B56/'AR5 Gear Ratios'!$D$5)*(('AR5 Gear Ratios'!$B$12*3.14)/63360)</f>
        <v>110.98218096457533</v>
      </c>
      <c r="P56" s="6">
        <f>(60*B56/'AR5 Gear Ratios'!$D$6)*(('AR5 Gear Ratios'!$B$12*3.14)/63360)</f>
        <v>152.03038488297989</v>
      </c>
    </row>
    <row r="57" spans="1:16" x14ac:dyDescent="0.3">
      <c r="A57" s="2">
        <v>54</v>
      </c>
      <c r="B57" s="2">
        <v>5400</v>
      </c>
      <c r="C57" s="6">
        <f t="shared" si="0"/>
        <v>90</v>
      </c>
      <c r="D57" s="6">
        <f t="shared" si="1"/>
        <v>565.20000000000005</v>
      </c>
      <c r="E57" s="6">
        <f t="shared" si="7"/>
        <v>247.5</v>
      </c>
      <c r="F57" s="6">
        <f t="shared" si="5"/>
        <v>136125</v>
      </c>
      <c r="G57" s="7">
        <f t="shared" si="3"/>
        <v>184560.75</v>
      </c>
      <c r="H57" s="6">
        <f t="shared" si="8"/>
        <v>240.84394904458597</v>
      </c>
      <c r="I57" s="6">
        <f>SQRT((G57*2)/'Acceleration Inputs'!$C$8)</f>
        <v>20.171331870999495</v>
      </c>
      <c r="J57" s="6">
        <f t="shared" si="6"/>
        <v>45.103098063554874</v>
      </c>
      <c r="K57" s="5">
        <f>AVERAGE($J$4:J57)</f>
        <v>30.463369007181861</v>
      </c>
      <c r="L57" s="6">
        <f>(60*B57/'AR5 Gear Ratios'!$D$2)*(('AR5 Gear Ratios'!$B$12*3.14)/63360)</f>
        <v>30.153649167733672</v>
      </c>
      <c r="M57" s="6">
        <f>(60*B57/'AR5 Gear Ratios'!$D$3)*(('AR5 Gear Ratios'!$B$12*3.14)/63360)</f>
        <v>50.033709902212955</v>
      </c>
      <c r="N57" s="6">
        <f>(60*B57/'AR5 Gear Ratios'!$D$4)*(('AR5 Gear Ratios'!$B$12*3.14)/63360)</f>
        <v>82.537360860584869</v>
      </c>
      <c r="O57" s="6">
        <f>(60*B57/'AR5 Gear Ratios'!$D$5)*(('AR5 Gear Ratios'!$B$12*3.14)/63360)</f>
        <v>113.07618437900129</v>
      </c>
      <c r="P57" s="6">
        <f>(60*B57/'AR5 Gear Ratios'!$D$6)*(('AR5 Gear Ratios'!$B$12*3.14)/63360)</f>
        <v>154.89888271096066</v>
      </c>
    </row>
    <row r="58" spans="1:16" x14ac:dyDescent="0.3">
      <c r="A58" s="2">
        <v>55</v>
      </c>
      <c r="B58" s="2">
        <v>5500</v>
      </c>
      <c r="C58" s="6">
        <f t="shared" si="0"/>
        <v>91.666666666666671</v>
      </c>
      <c r="D58" s="6">
        <f t="shared" si="1"/>
        <v>575.66666666666674</v>
      </c>
      <c r="E58" s="6">
        <f t="shared" si="7"/>
        <v>252.08333333333331</v>
      </c>
      <c r="F58" s="6">
        <f t="shared" si="5"/>
        <v>138645.83333333331</v>
      </c>
      <c r="G58" s="7">
        <f t="shared" si="3"/>
        <v>187978.54166666666</v>
      </c>
      <c r="H58" s="6">
        <f t="shared" si="8"/>
        <v>240.84394904458591</v>
      </c>
      <c r="I58" s="6">
        <f>SQRT((G58*2)/'Acceleration Inputs'!$C$8)</f>
        <v>20.357246693949882</v>
      </c>
      <c r="J58" s="6">
        <f t="shared" si="6"/>
        <v>45.518803607671941</v>
      </c>
      <c r="K58" s="5">
        <f>AVERAGE($J$4:J58)</f>
        <v>30.737104181736228</v>
      </c>
      <c r="L58" s="6">
        <f>(60*B58/'AR5 Gear Ratios'!$D$2)*(('AR5 Gear Ratios'!$B$12*3.14)/63360)</f>
        <v>30.712050078247263</v>
      </c>
      <c r="M58" s="6">
        <f>(60*B58/'AR5 Gear Ratios'!$D$3)*(('AR5 Gear Ratios'!$B$12*3.14)/63360)</f>
        <v>50.960260085587272</v>
      </c>
      <c r="N58" s="6">
        <f>(60*B58/'AR5 Gear Ratios'!$D$4)*(('AR5 Gear Ratios'!$B$12*3.14)/63360)</f>
        <v>84.065830506151258</v>
      </c>
      <c r="O58" s="6">
        <f>(60*B58/'AR5 Gear Ratios'!$D$5)*(('AR5 Gear Ratios'!$B$12*3.14)/63360)</f>
        <v>115.17018779342723</v>
      </c>
      <c r="P58" s="6">
        <f>(60*B58/'AR5 Gear Ratios'!$D$6)*(('AR5 Gear Ratios'!$B$12*3.14)/63360)</f>
        <v>157.76738053894141</v>
      </c>
    </row>
    <row r="59" spans="1:16" x14ac:dyDescent="0.3">
      <c r="A59" s="2">
        <v>56</v>
      </c>
      <c r="B59" s="2">
        <v>5600</v>
      </c>
      <c r="C59" s="6">
        <f t="shared" si="0"/>
        <v>93.333333333333329</v>
      </c>
      <c r="D59" s="6">
        <f t="shared" si="1"/>
        <v>586.13333333333333</v>
      </c>
      <c r="E59" s="6">
        <f t="shared" si="7"/>
        <v>256.66666666666669</v>
      </c>
      <c r="F59" s="6">
        <f t="shared" si="5"/>
        <v>141166.66666666669</v>
      </c>
      <c r="G59" s="7">
        <f t="shared" si="3"/>
        <v>191396.33333333337</v>
      </c>
      <c r="H59" s="6">
        <f t="shared" si="8"/>
        <v>240.84394904458603</v>
      </c>
      <c r="I59" s="6">
        <f>SQRT((G59*2)/'Acceleration Inputs'!$C$8)</f>
        <v>20.541478925984535</v>
      </c>
      <c r="J59" s="6">
        <f t="shared" si="6"/>
        <v>45.930746878501424</v>
      </c>
      <c r="K59" s="5">
        <f>AVERAGE($J$4:J59)</f>
        <v>31.008419229892748</v>
      </c>
      <c r="L59" s="6">
        <f>(60*B59/'AR5 Gear Ratios'!$D$2)*(('AR5 Gear Ratios'!$B$12*3.14)/63360)</f>
        <v>31.270450988760846</v>
      </c>
      <c r="M59" s="6">
        <f>(60*B59/'AR5 Gear Ratios'!$D$3)*(('AR5 Gear Ratios'!$B$12*3.14)/63360)</f>
        <v>51.886810268961582</v>
      </c>
      <c r="N59" s="6">
        <f>(60*B59/'AR5 Gear Ratios'!$D$4)*(('AR5 Gear Ratios'!$B$12*3.14)/63360)</f>
        <v>85.594300151717647</v>
      </c>
      <c r="O59" s="6">
        <f>(60*B59/'AR5 Gear Ratios'!$D$5)*(('AR5 Gear Ratios'!$B$12*3.14)/63360)</f>
        <v>117.26419120785317</v>
      </c>
      <c r="P59" s="6">
        <f>(60*B59/'AR5 Gear Ratios'!$D$6)*(('AR5 Gear Ratios'!$B$12*3.14)/63360)</f>
        <v>160.63587836692216</v>
      </c>
    </row>
    <row r="60" spans="1:16" x14ac:dyDescent="0.3">
      <c r="A60" s="2">
        <v>57</v>
      </c>
      <c r="B60" s="2">
        <v>5700</v>
      </c>
      <c r="C60" s="6">
        <f t="shared" si="0"/>
        <v>95</v>
      </c>
      <c r="D60" s="6">
        <f t="shared" si="1"/>
        <v>596.6</v>
      </c>
      <c r="E60" s="6">
        <f t="shared" si="7"/>
        <v>261.25</v>
      </c>
      <c r="F60" s="6">
        <f t="shared" si="5"/>
        <v>143687.5</v>
      </c>
      <c r="G60" s="7">
        <f t="shared" si="3"/>
        <v>194814.125</v>
      </c>
      <c r="H60" s="6">
        <f t="shared" si="8"/>
        <v>240.84394904458597</v>
      </c>
      <c r="I60" s="6">
        <f>SQRT((G60*2)/'Acceleration Inputs'!$C$8)</f>
        <v>20.724073440687281</v>
      </c>
      <c r="J60" s="6">
        <f t="shared" si="6"/>
        <v>46.339028213376764</v>
      </c>
      <c r="K60" s="5">
        <f>AVERAGE($J$4:J60)</f>
        <v>31.277377282234571</v>
      </c>
      <c r="L60" s="6">
        <f>(60*B60/'AR5 Gear Ratios'!$D$2)*(('AR5 Gear Ratios'!$B$12*3.14)/63360)</f>
        <v>31.828851899274433</v>
      </c>
      <c r="M60" s="6">
        <f>(60*B60/'AR5 Gear Ratios'!$D$3)*(('AR5 Gear Ratios'!$B$12*3.14)/63360)</f>
        <v>52.8133604523359</v>
      </c>
      <c r="N60" s="6">
        <f>(60*B60/'AR5 Gear Ratios'!$D$4)*(('AR5 Gear Ratios'!$B$12*3.14)/63360)</f>
        <v>87.122769797284036</v>
      </c>
      <c r="O60" s="6">
        <f>(60*B60/'AR5 Gear Ratios'!$D$5)*(('AR5 Gear Ratios'!$B$12*3.14)/63360)</f>
        <v>119.35819462227913</v>
      </c>
      <c r="P60" s="6">
        <f>(60*B60/'AR5 Gear Ratios'!$D$6)*(('AR5 Gear Ratios'!$B$12*3.14)/63360)</f>
        <v>163.50437619490293</v>
      </c>
    </row>
    <row r="61" spans="1:16" x14ac:dyDescent="0.3">
      <c r="A61" s="2">
        <v>58</v>
      </c>
      <c r="B61" s="2">
        <v>5800</v>
      </c>
      <c r="C61" s="6">
        <f t="shared" si="0"/>
        <v>96.666666666666671</v>
      </c>
      <c r="D61" s="6">
        <f t="shared" si="1"/>
        <v>607.06666666666672</v>
      </c>
      <c r="E61" s="6">
        <f t="shared" si="7"/>
        <v>265.83333333333331</v>
      </c>
      <c r="F61" s="6">
        <f t="shared" si="5"/>
        <v>146208.33333333331</v>
      </c>
      <c r="G61" s="7">
        <f t="shared" si="3"/>
        <v>198231.91666666666</v>
      </c>
      <c r="H61" s="6">
        <f t="shared" si="8"/>
        <v>240.84394904458594</v>
      </c>
      <c r="I61" s="6">
        <f>SQRT((G61*2)/'Acceleration Inputs'!$C$8)</f>
        <v>20.905073151829278</v>
      </c>
      <c r="J61" s="6">
        <f t="shared" si="6"/>
        <v>46.74374356749027</v>
      </c>
      <c r="K61" s="5">
        <f>AVERAGE($J$4:J61)</f>
        <v>31.544038769911396</v>
      </c>
      <c r="L61" s="6">
        <f>(60*B61/'AR5 Gear Ratios'!$D$2)*(('AR5 Gear Ratios'!$B$12*3.14)/63360)</f>
        <v>32.387252809788023</v>
      </c>
      <c r="M61" s="6">
        <f>(60*B61/'AR5 Gear Ratios'!$D$3)*(('AR5 Gear Ratios'!$B$12*3.14)/63360)</f>
        <v>53.739910635710217</v>
      </c>
      <c r="N61" s="6">
        <f>(60*B61/'AR5 Gear Ratios'!$D$4)*(('AR5 Gear Ratios'!$B$12*3.14)/63360)</f>
        <v>88.651239442850411</v>
      </c>
      <c r="O61" s="6">
        <f>(60*B61/'AR5 Gear Ratios'!$D$5)*(('AR5 Gear Ratios'!$B$12*3.14)/63360)</f>
        <v>121.45219803670508</v>
      </c>
      <c r="P61" s="6">
        <f>(60*B61/'AR5 Gear Ratios'!$D$6)*(('AR5 Gear Ratios'!$B$12*3.14)/63360)</f>
        <v>166.37287402288368</v>
      </c>
    </row>
    <row r="62" spans="1:16" x14ac:dyDescent="0.3">
      <c r="A62" s="2">
        <v>59</v>
      </c>
      <c r="B62" s="2">
        <v>5900</v>
      </c>
      <c r="C62" s="6">
        <f t="shared" si="0"/>
        <v>98.333333333333329</v>
      </c>
      <c r="D62" s="6">
        <f t="shared" si="1"/>
        <v>617.5333333333333</v>
      </c>
      <c r="E62" s="6">
        <f t="shared" si="7"/>
        <v>270.41666666666663</v>
      </c>
      <c r="F62" s="6">
        <f t="shared" si="5"/>
        <v>148729.16666666666</v>
      </c>
      <c r="G62" s="7">
        <f t="shared" si="3"/>
        <v>201649.70833333331</v>
      </c>
      <c r="H62" s="6">
        <f t="shared" si="8"/>
        <v>240.843949044586</v>
      </c>
      <c r="I62" s="6">
        <f>SQRT((G62*2)/'Acceleration Inputs'!$C$8)</f>
        <v>21.08451913114612</v>
      </c>
      <c r="J62" s="6">
        <f t="shared" si="6"/>
        <v>47.144984777242726</v>
      </c>
      <c r="K62" s="5">
        <f>AVERAGE($J$4:J62)</f>
        <v>31.80846158359498</v>
      </c>
      <c r="L62" s="6">
        <f>(60*B62/'AR5 Gear Ratios'!$D$2)*(('AR5 Gear Ratios'!$B$12*3.14)/63360)</f>
        <v>32.945653720301607</v>
      </c>
      <c r="M62" s="6">
        <f>(60*B62/'AR5 Gear Ratios'!$D$3)*(('AR5 Gear Ratios'!$B$12*3.14)/63360)</f>
        <v>54.666460819084527</v>
      </c>
      <c r="N62" s="6">
        <f>(60*B62/'AR5 Gear Ratios'!$D$4)*(('AR5 Gear Ratios'!$B$12*3.14)/63360)</f>
        <v>90.1797090884168</v>
      </c>
      <c r="O62" s="6">
        <f>(60*B62/'AR5 Gear Ratios'!$D$5)*(('AR5 Gear Ratios'!$B$12*3.14)/63360)</f>
        <v>123.54620145113103</v>
      </c>
      <c r="P62" s="6">
        <f>(60*B62/'AR5 Gear Ratios'!$D$6)*(('AR5 Gear Ratios'!$B$12*3.14)/63360)</f>
        <v>169.24137185086443</v>
      </c>
    </row>
    <row r="63" spans="1:16" x14ac:dyDescent="0.3">
      <c r="A63" s="2">
        <v>60</v>
      </c>
      <c r="B63" s="2">
        <v>6000</v>
      </c>
      <c r="C63" s="6">
        <f t="shared" si="0"/>
        <v>100</v>
      </c>
      <c r="D63" s="6">
        <f t="shared" si="1"/>
        <v>628</v>
      </c>
      <c r="E63" s="6">
        <f t="shared" si="7"/>
        <v>275</v>
      </c>
      <c r="F63" s="6">
        <f t="shared" si="5"/>
        <v>151250</v>
      </c>
      <c r="G63" s="7">
        <f t="shared" si="3"/>
        <v>205067.5</v>
      </c>
      <c r="H63" s="6">
        <f t="shared" si="8"/>
        <v>240.843949044586</v>
      </c>
      <c r="I63" s="6">
        <f>SQRT((G63*2)/'Acceleration Inputs'!$C$8)</f>
        <v>21.262450717168047</v>
      </c>
      <c r="J63" s="6">
        <f t="shared" si="6"/>
        <v>47.542839803587761</v>
      </c>
      <c r="K63" s="5">
        <f>AVERAGE($J$4:J63)</f>
        <v>32.070701220594863</v>
      </c>
      <c r="L63" s="6">
        <f>(60*B63/'AR5 Gear Ratios'!$D$2)*(('AR5 Gear Ratios'!$B$12*3.14)/63360)</f>
        <v>33.50405463081519</v>
      </c>
      <c r="M63" s="6">
        <f>(60*B63/'AR5 Gear Ratios'!$D$3)*(('AR5 Gear Ratios'!$B$12*3.14)/63360)</f>
        <v>55.593011002458844</v>
      </c>
      <c r="N63" s="6">
        <f>(60*B63/'AR5 Gear Ratios'!$D$4)*(('AR5 Gear Ratios'!$B$12*3.14)/63360)</f>
        <v>91.708178733983189</v>
      </c>
      <c r="O63" s="6">
        <f>(60*B63/'AR5 Gear Ratios'!$D$5)*(('AR5 Gear Ratios'!$B$12*3.14)/63360)</f>
        <v>125.64020486555698</v>
      </c>
      <c r="P63" s="6">
        <f>(60*B63/'AR5 Gear Ratios'!$D$6)*(('AR5 Gear Ratios'!$B$12*3.14)/63360)</f>
        <v>172.10986967884517</v>
      </c>
    </row>
    <row r="64" spans="1:16" x14ac:dyDescent="0.3">
      <c r="A64" s="2">
        <v>61</v>
      </c>
      <c r="B64" s="2">
        <v>6100</v>
      </c>
      <c r="C64" s="6">
        <f t="shared" si="0"/>
        <v>101.66666666666667</v>
      </c>
      <c r="D64" s="6">
        <f t="shared" si="1"/>
        <v>638.4666666666667</v>
      </c>
      <c r="E64" s="6">
        <f>$T$2</f>
        <v>275</v>
      </c>
      <c r="F64" s="6">
        <f t="shared" si="5"/>
        <v>151250</v>
      </c>
      <c r="G64" s="7">
        <f t="shared" si="3"/>
        <v>205067.5</v>
      </c>
      <c r="H64" s="6">
        <f t="shared" si="8"/>
        <v>236.89568758483867</v>
      </c>
      <c r="I64" s="6">
        <f>SQRT((G64*2)/'Acceleration Inputs'!$C$8)</f>
        <v>21.262450717168047</v>
      </c>
      <c r="J64" s="6">
        <f t="shared" si="6"/>
        <v>47.542839803587761</v>
      </c>
      <c r="K64" s="5">
        <f>AVERAGE($J$4:J64)</f>
        <v>32.324342836709498</v>
      </c>
      <c r="L64" s="6">
        <f>(60*B64/'AR5 Gear Ratios'!$D$2)*(('AR5 Gear Ratios'!$B$12*3.14)/63360)</f>
        <v>34.062455541328781</v>
      </c>
      <c r="M64" s="6">
        <f>(60*B64/'AR5 Gear Ratios'!$D$3)*(('AR5 Gear Ratios'!$B$12*3.14)/63360)</f>
        <v>56.519561185833155</v>
      </c>
      <c r="N64" s="6">
        <f>(60*B64/'AR5 Gear Ratios'!$D$4)*(('AR5 Gear Ratios'!$B$12*3.14)/63360)</f>
        <v>93.236648379549578</v>
      </c>
      <c r="O64" s="6">
        <f>(60*B64/'AR5 Gear Ratios'!$D$5)*(('AR5 Gear Ratios'!$B$12*3.14)/63360)</f>
        <v>127.73420827998294</v>
      </c>
      <c r="P64" s="6">
        <f>(60*B64/'AR5 Gear Ratios'!$D$6)*(('AR5 Gear Ratios'!$B$12*3.14)/63360)</f>
        <v>174.97836750682592</v>
      </c>
    </row>
    <row r="65" spans="1:16" x14ac:dyDescent="0.3">
      <c r="A65" s="2">
        <v>62</v>
      </c>
      <c r="B65" s="2">
        <v>6200</v>
      </c>
      <c r="C65" s="6">
        <f t="shared" si="0"/>
        <v>103.33333333333333</v>
      </c>
      <c r="D65" s="6">
        <f t="shared" si="1"/>
        <v>648.93333333333328</v>
      </c>
      <c r="E65" s="6">
        <f>$T$2</f>
        <v>275</v>
      </c>
      <c r="F65" s="6">
        <f t="shared" si="5"/>
        <v>151250</v>
      </c>
      <c r="G65" s="7">
        <f t="shared" si="3"/>
        <v>205067.5</v>
      </c>
      <c r="H65" s="6">
        <f t="shared" si="8"/>
        <v>233.07478939798645</v>
      </c>
      <c r="I65" s="6">
        <f>SQRT((G65*2)/'Acceleration Inputs'!$C$8)</f>
        <v>21.262450717168047</v>
      </c>
      <c r="J65" s="6">
        <f t="shared" si="6"/>
        <v>47.542839803587761</v>
      </c>
      <c r="K65" s="5">
        <f>AVERAGE($J$4:J65)</f>
        <v>32.569802465207538</v>
      </c>
      <c r="L65" s="6">
        <f>(60*B65/'AR5 Gear Ratios'!$D$2)*(('AR5 Gear Ratios'!$B$12*3.14)/63360)</f>
        <v>34.620856451842364</v>
      </c>
      <c r="M65" s="6">
        <f>(60*B65/'AR5 Gear Ratios'!$D$3)*(('AR5 Gear Ratios'!$B$12*3.14)/63360)</f>
        <v>57.446111369207472</v>
      </c>
      <c r="N65" s="6">
        <f>(60*B65/'AR5 Gear Ratios'!$D$4)*(('AR5 Gear Ratios'!$B$12*3.14)/63360)</f>
        <v>94.765118025115953</v>
      </c>
      <c r="O65" s="6">
        <f>(60*B65/'AR5 Gear Ratios'!$D$5)*(('AR5 Gear Ratios'!$B$12*3.14)/63360)</f>
        <v>129.82821169440888</v>
      </c>
      <c r="P65" s="6">
        <f>(60*B65/'AR5 Gear Ratios'!$D$6)*(('AR5 Gear Ratios'!$B$12*3.14)/63360)</f>
        <v>177.84686533480669</v>
      </c>
    </row>
    <row r="66" spans="1:16" s="22" customFormat="1" x14ac:dyDescent="0.3">
      <c r="A66" s="18">
        <v>63</v>
      </c>
      <c r="B66" s="18">
        <v>6300</v>
      </c>
      <c r="C66" s="19">
        <f t="shared" si="0"/>
        <v>105</v>
      </c>
      <c r="D66" s="19">
        <f t="shared" si="1"/>
        <v>659.4</v>
      </c>
      <c r="E66" s="19">
        <f>$T$2</f>
        <v>275</v>
      </c>
      <c r="F66" s="19">
        <f t="shared" si="5"/>
        <v>151250</v>
      </c>
      <c r="G66" s="20">
        <f t="shared" si="3"/>
        <v>205067.5</v>
      </c>
      <c r="H66" s="19">
        <f t="shared" si="8"/>
        <v>229.37518956627238</v>
      </c>
      <c r="I66" s="19">
        <f>SQRT((G66*2)/'Acceleration Inputs'!$C$8)</f>
        <v>21.262450717168047</v>
      </c>
      <c r="J66" s="19">
        <f t="shared" si="6"/>
        <v>47.542839803587761</v>
      </c>
      <c r="K66" s="21">
        <f>AVERAGE($J$4:J66)</f>
        <v>32.807469724546905</v>
      </c>
      <c r="L66" s="19">
        <f>(60*B66/'AR5 Gear Ratios'!$D$2)*(('AR5 Gear Ratios'!$B$12*3.14)/63360)</f>
        <v>35.179257362355955</v>
      </c>
      <c r="M66" s="19">
        <f>(60*B66/'AR5 Gear Ratios'!$D$3)*(('AR5 Gear Ratios'!$B$12*3.14)/63360)</f>
        <v>58.372661552581775</v>
      </c>
      <c r="N66" s="19">
        <f>(60*B66/'AR5 Gear Ratios'!$D$4)*(('AR5 Gear Ratios'!$B$12*3.14)/63360)</f>
        <v>96.293587670682356</v>
      </c>
      <c r="O66" s="19">
        <f>(60*B66/'AR5 Gear Ratios'!$D$5)*(('AR5 Gear Ratios'!$B$12*3.14)/63360)</f>
        <v>131.92221510883482</v>
      </c>
      <c r="P66" s="19">
        <f>(60*B66/'AR5 Gear Ratios'!$D$6)*(('AR5 Gear Ratios'!$B$12*3.14)/63360)</f>
        <v>180.71536316278744</v>
      </c>
    </row>
    <row r="67" spans="1:16" x14ac:dyDescent="0.3">
      <c r="C67" s="5"/>
      <c r="D67" s="5"/>
      <c r="E67" s="5"/>
    </row>
    <row r="68" spans="1:16" x14ac:dyDescent="0.3">
      <c r="C68" s="5"/>
      <c r="D68" s="5"/>
      <c r="E68" s="5"/>
    </row>
    <row r="69" spans="1:16" x14ac:dyDescent="0.3">
      <c r="C69" s="5"/>
      <c r="D69" s="5"/>
      <c r="E69" s="5"/>
      <c r="J69" t="s">
        <v>46</v>
      </c>
      <c r="K69" s="5">
        <f>AVERAGE(K4:K66)</f>
        <v>22.514548718195837</v>
      </c>
    </row>
    <row r="70" spans="1:16" x14ac:dyDescent="0.3">
      <c r="E70" s="5"/>
    </row>
    <row r="71" spans="1:16" x14ac:dyDescent="0.3">
      <c r="K71" t="s">
        <v>48</v>
      </c>
      <c r="L71" s="4">
        <f>L66/$K$69</f>
        <v>1.5625122138879355</v>
      </c>
      <c r="M71" s="4">
        <f>M55/$K$69</f>
        <v>2.1399766941153771</v>
      </c>
    </row>
    <row r="72" spans="1:16" x14ac:dyDescent="0.3">
      <c r="K72" t="s">
        <v>49</v>
      </c>
      <c r="L72">
        <v>0.5</v>
      </c>
    </row>
    <row r="74" spans="1:16" x14ac:dyDescent="0.3">
      <c r="K74" t="s">
        <v>50</v>
      </c>
      <c r="L74" s="4">
        <f>L71+M71+L72</f>
        <v>4.2024889080033123</v>
      </c>
      <c r="M74" t="s">
        <v>51</v>
      </c>
    </row>
    <row r="75" spans="1:16" x14ac:dyDescent="0.3">
      <c r="K75" t="s">
        <v>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839D-F02B-4230-AF00-AEDF531C206C}">
  <dimension ref="A1:AH75"/>
  <sheetViews>
    <sheetView tabSelected="1" topLeftCell="P1" zoomScale="85" zoomScaleNormal="85" workbookViewId="0">
      <selection activeCell="AH4" sqref="AH4"/>
    </sheetView>
  </sheetViews>
  <sheetFormatPr defaultRowHeight="14.4" x14ac:dyDescent="0.3"/>
  <cols>
    <col min="5" max="5" width="10" bestFit="1" customWidth="1"/>
    <col min="6" max="6" width="13.6640625" bestFit="1" customWidth="1"/>
    <col min="7" max="7" width="13.6640625" customWidth="1"/>
    <col min="8" max="8" width="11.44140625" bestFit="1" customWidth="1"/>
    <col min="9" max="9" width="22" bestFit="1" customWidth="1"/>
    <col min="10" max="10" width="22" customWidth="1"/>
    <col min="11" max="11" width="18.109375" bestFit="1" customWidth="1"/>
    <col min="12" max="29" width="12.33203125" customWidth="1"/>
    <col min="32" max="32" width="15.6640625" bestFit="1" customWidth="1"/>
  </cols>
  <sheetData>
    <row r="1" spans="1:34" x14ac:dyDescent="0.3">
      <c r="L1" t="s">
        <v>57</v>
      </c>
      <c r="M1">
        <v>0.4</v>
      </c>
      <c r="O1" t="s">
        <v>16</v>
      </c>
      <c r="P1">
        <v>21.5</v>
      </c>
      <c r="AG1" t="s">
        <v>35</v>
      </c>
      <c r="AH1" t="s">
        <v>27</v>
      </c>
    </row>
    <row r="2" spans="1:34" x14ac:dyDescent="0.3">
      <c r="A2" s="1"/>
      <c r="B2" s="1" t="s">
        <v>27</v>
      </c>
      <c r="C2" s="1" t="s">
        <v>28</v>
      </c>
      <c r="D2" s="1" t="s">
        <v>29</v>
      </c>
      <c r="E2" s="1" t="s">
        <v>32</v>
      </c>
      <c r="F2" s="1" t="s">
        <v>33</v>
      </c>
      <c r="G2" s="1" t="s">
        <v>36</v>
      </c>
      <c r="H2" s="1" t="s">
        <v>34</v>
      </c>
      <c r="I2" s="1" t="s">
        <v>37</v>
      </c>
      <c r="J2" s="1" t="s">
        <v>38</v>
      </c>
      <c r="K2" s="8" t="s">
        <v>47</v>
      </c>
      <c r="L2" s="1" t="s">
        <v>39</v>
      </c>
      <c r="M2" s="1" t="s">
        <v>56</v>
      </c>
      <c r="N2" s="1" t="s">
        <v>58</v>
      </c>
      <c r="O2" s="1" t="s">
        <v>40</v>
      </c>
      <c r="P2" s="1" t="s">
        <v>56</v>
      </c>
      <c r="Q2" s="1" t="s">
        <v>58</v>
      </c>
      <c r="R2" s="1" t="s">
        <v>41</v>
      </c>
      <c r="S2" s="1" t="s">
        <v>56</v>
      </c>
      <c r="T2" s="1" t="s">
        <v>58</v>
      </c>
      <c r="U2" s="1" t="s">
        <v>43</v>
      </c>
      <c r="V2" s="1" t="s">
        <v>56</v>
      </c>
      <c r="W2" s="1" t="s">
        <v>58</v>
      </c>
      <c r="X2" s="1" t="s">
        <v>44</v>
      </c>
      <c r="Y2" s="1" t="s">
        <v>56</v>
      </c>
      <c r="Z2" s="1" t="s">
        <v>58</v>
      </c>
      <c r="AA2" s="1" t="s">
        <v>45</v>
      </c>
      <c r="AB2" s="1" t="s">
        <v>56</v>
      </c>
      <c r="AC2" s="1" t="s">
        <v>58</v>
      </c>
      <c r="AF2" t="s">
        <v>31</v>
      </c>
      <c r="AG2">
        <f>'Acceleration Inputs'!C2</f>
        <v>275</v>
      </c>
      <c r="AH2">
        <f>'Acceleration Inputs'!E2</f>
        <v>6000</v>
      </c>
    </row>
    <row r="3" spans="1:34" x14ac:dyDescent="0.3">
      <c r="A3" s="2"/>
      <c r="B3" s="2">
        <v>0</v>
      </c>
      <c r="C3" s="6">
        <f>B3/60</f>
        <v>0</v>
      </c>
      <c r="D3" s="6">
        <f>C3*2*3.14</f>
        <v>0</v>
      </c>
      <c r="E3" s="2">
        <v>0</v>
      </c>
      <c r="F3" s="2">
        <v>0</v>
      </c>
      <c r="G3" s="7">
        <f>E3*745.7</f>
        <v>0</v>
      </c>
      <c r="H3" s="2"/>
      <c r="I3" s="2"/>
      <c r="J3" s="2"/>
      <c r="L3" s="15"/>
      <c r="M3" s="2"/>
      <c r="N3" s="2"/>
      <c r="O3" s="15"/>
      <c r="P3" s="2"/>
      <c r="Q3" s="2"/>
      <c r="R3" s="15"/>
      <c r="S3" s="2"/>
      <c r="T3" s="2"/>
      <c r="U3" s="15"/>
      <c r="V3" s="2"/>
      <c r="W3" s="2"/>
      <c r="X3" s="15"/>
      <c r="Y3" s="2"/>
      <c r="Z3" s="2"/>
      <c r="AA3" s="15"/>
      <c r="AB3" s="2"/>
      <c r="AC3" s="2"/>
      <c r="AF3" t="s">
        <v>30</v>
      </c>
      <c r="AG3">
        <f>'Acceleration Inputs'!C3</f>
        <v>277</v>
      </c>
      <c r="AH3">
        <f>'Acceleration Inputs'!E3</f>
        <v>3600</v>
      </c>
    </row>
    <row r="4" spans="1:34" x14ac:dyDescent="0.3">
      <c r="A4" s="2">
        <v>1</v>
      </c>
      <c r="B4" s="2">
        <v>100</v>
      </c>
      <c r="C4" s="6">
        <f t="shared" ref="C4:C66" si="0">B4/60</f>
        <v>1.6666666666666667</v>
      </c>
      <c r="D4" s="6">
        <f t="shared" ref="D4:D66" si="1">C4*2*3.14</f>
        <v>10.466666666666667</v>
      </c>
      <c r="E4" s="6">
        <f t="shared" ref="E4:E35" si="2">(B4/$B$63)*$AG$2</f>
        <v>4.583333333333333</v>
      </c>
      <c r="F4" s="6">
        <f>E4*550</f>
        <v>2520.833333333333</v>
      </c>
      <c r="G4" s="7">
        <f t="shared" ref="G4:G66" si="3">E4*745.7</f>
        <v>3417.7916666666665</v>
      </c>
      <c r="H4" s="6">
        <f t="shared" ref="H4:H66" si="4">F4/D4</f>
        <v>240.84394904458597</v>
      </c>
      <c r="I4" s="6">
        <f>SQRT((G4*2)/'Acceleration Inputs'!$C$8)</f>
        <v>2.7449705842382599</v>
      </c>
      <c r="J4" s="6">
        <f>I4*2.236</f>
        <v>6.1377542263567495</v>
      </c>
      <c r="K4" s="5">
        <f>AVERAGE($J$4:J4)</f>
        <v>6.1377542263567495</v>
      </c>
      <c r="L4" s="16">
        <f>(60*B4/'AR5 Gear Ratios'!$D$2)*(('AR5 Gear Ratios'!$B$12*3.14)/63360)</f>
        <v>0.55840091051358653</v>
      </c>
      <c r="M4" s="6">
        <f t="shared" ref="M4:M35" si="5">0.5*0.00238*(L4*1.46)^2*$M$1*$P$1</f>
        <v>6.8021054407931079E-3</v>
      </c>
      <c r="N4" s="6">
        <f>$H4*'AR5 Gear Ratios'!$D$2/('AR5 Gear Ratios'!$B$12/24)</f>
        <v>3077.9856687898086</v>
      </c>
      <c r="O4" s="16">
        <f>(60*B4/'AR5 Gear Ratios'!$D$3)*(('AR5 Gear Ratios'!$B$12*3.14)/63360)</f>
        <v>0.92655018337431394</v>
      </c>
      <c r="P4" s="6">
        <f t="shared" ref="P4:P35" si="6">0.5*0.00238*(O4*1.46)^2*$M$1*$P$1</f>
        <v>1.8727897204392097E-2</v>
      </c>
      <c r="Q4" s="6">
        <f>$H4*'AR5 Gear Ratios'!$D$3/('AR5 Gear Ratios'!$B$12/24)</f>
        <v>1854.9993630573244</v>
      </c>
      <c r="R4" s="16">
        <f>(60*B4/'AR5 Gear Ratios'!$D$4)*(('AR5 Gear Ratios'!$B$12*3.14)/63360)</f>
        <v>1.5284696455663864</v>
      </c>
      <c r="S4" s="6">
        <f t="shared" ref="S4:S35" si="7">0.5*0.00238*(R4*1.46)^2*$M$1*$P$1</f>
        <v>5.096414713684963E-2</v>
      </c>
      <c r="T4" s="6">
        <f>$H4*'AR5 Gear Ratios'!$D$4/('AR5 Gear Ratios'!$B$12/24)</f>
        <v>1124.4907643312101</v>
      </c>
      <c r="U4" s="16">
        <f>(60*B4/'AR5 Gear Ratios'!$D$5)*(('AR5 Gear Ratios'!$B$12*3.14)/63360)</f>
        <v>2.0940034144259494</v>
      </c>
      <c r="V4" s="6">
        <f t="shared" ref="V4:V35" si="8">0.5*0.00238*(U4*1.46)^2*$M$1*$P$1</f>
        <v>9.5654607761153074E-2</v>
      </c>
      <c r="W4" s="6">
        <f>$H4*'AR5 Gear Ratios'!$D$5/('AR5 Gear Ratios'!$B$12/24)</f>
        <v>820.7961783439489</v>
      </c>
      <c r="X4" s="16">
        <f>(60*B4/'AR5 Gear Ratios'!$D$6)*(('AR5 Gear Ratios'!$B$12*3.14)/63360)</f>
        <v>2.8684978279807529</v>
      </c>
      <c r="Y4" s="6">
        <f t="shared" ref="Y4:Y35" si="9">0.5*0.00238*(X4*1.46)^2*$M$1*$P$1</f>
        <v>0.17949823186555278</v>
      </c>
      <c r="Z4" s="6">
        <f>$H4*'AR5 Gear Ratios'!$D$6/('AR5 Gear Ratios'!$B$12/24)</f>
        <v>599.18121019108276</v>
      </c>
      <c r="AA4" s="16" t="e">
        <f>(60*B4/'AR5 Gear Ratios'!$D$7)*(('AR5 Gear Ratios'!$B$12*3.14)/63360)</f>
        <v>#DIV/0!</v>
      </c>
      <c r="AB4" s="6" t="e">
        <f t="shared" ref="AB4:AB35" si="10">0.5*0.00238*(AA4*1.46)^2*$M$1*$P$1</f>
        <v>#DIV/0!</v>
      </c>
      <c r="AC4" s="6">
        <f>$H4*'AR5 Gear Ratios'!$D$7/('AR5 Gear Ratios'!$B$12/24)</f>
        <v>0</v>
      </c>
    </row>
    <row r="5" spans="1:34" x14ac:dyDescent="0.3">
      <c r="A5" s="2">
        <v>2</v>
      </c>
      <c r="B5" s="2">
        <v>200</v>
      </c>
      <c r="C5" s="6">
        <f t="shared" si="0"/>
        <v>3.3333333333333335</v>
      </c>
      <c r="D5" s="6">
        <f t="shared" si="1"/>
        <v>20.933333333333334</v>
      </c>
      <c r="E5" s="6">
        <f t="shared" si="2"/>
        <v>9.1666666666666661</v>
      </c>
      <c r="F5" s="6">
        <f t="shared" ref="F5:F66" si="11">E5*550</f>
        <v>5041.6666666666661</v>
      </c>
      <c r="G5" s="7">
        <f t="shared" si="3"/>
        <v>6835.583333333333</v>
      </c>
      <c r="H5" s="6">
        <f t="shared" si="4"/>
        <v>240.84394904458597</v>
      </c>
      <c r="I5" s="6">
        <f>SQRT((G5*2)/'Acceleration Inputs'!$C$8)</f>
        <v>3.8819746285449455</v>
      </c>
      <c r="J5" s="6">
        <f t="shared" ref="J5:J66" si="12">I5*2.236</f>
        <v>8.6800952694264986</v>
      </c>
      <c r="K5" s="5">
        <f>AVERAGE($J$4:J5)</f>
        <v>7.408924747891624</v>
      </c>
      <c r="L5" s="16">
        <f>(60*B5/'AR5 Gear Ratios'!$D$2)*(('AR5 Gear Ratios'!$B$12*3.14)/63360)</f>
        <v>1.1168018210271731</v>
      </c>
      <c r="M5" s="6">
        <f t="shared" si="5"/>
        <v>2.7208421763172431E-2</v>
      </c>
      <c r="N5" s="6">
        <f>$H5*'AR5 Gear Ratios'!$D$2/('AR5 Gear Ratios'!$B$12/24)</f>
        <v>3077.9856687898086</v>
      </c>
      <c r="O5" s="16">
        <f>(60*B5/'AR5 Gear Ratios'!$D$3)*(('AR5 Gear Ratios'!$B$12*3.14)/63360)</f>
        <v>1.8531003667486279</v>
      </c>
      <c r="P5" s="6">
        <f t="shared" si="6"/>
        <v>7.4911588817568389E-2</v>
      </c>
      <c r="Q5" s="6">
        <f>$H5*'AR5 Gear Ratios'!$D$3/('AR5 Gear Ratios'!$B$12/24)</f>
        <v>1854.9993630573244</v>
      </c>
      <c r="R5" s="16">
        <f>(60*B5/'AR5 Gear Ratios'!$D$4)*(('AR5 Gear Ratios'!$B$12*3.14)/63360)</f>
        <v>3.0569392911327729</v>
      </c>
      <c r="S5" s="6">
        <f t="shared" si="7"/>
        <v>0.20385658854739852</v>
      </c>
      <c r="T5" s="6">
        <f>$H5*'AR5 Gear Ratios'!$D$4/('AR5 Gear Ratios'!$B$12/24)</f>
        <v>1124.4907643312101</v>
      </c>
      <c r="U5" s="16">
        <f>(60*B5/'AR5 Gear Ratios'!$D$5)*(('AR5 Gear Ratios'!$B$12*3.14)/63360)</f>
        <v>4.1880068288518988</v>
      </c>
      <c r="V5" s="6">
        <f t="shared" si="8"/>
        <v>0.38261843104461229</v>
      </c>
      <c r="W5" s="6">
        <f>$H5*'AR5 Gear Ratios'!$D$5/('AR5 Gear Ratios'!$B$12/24)</f>
        <v>820.7961783439489</v>
      </c>
      <c r="X5" s="16">
        <f>(60*B5/'AR5 Gear Ratios'!$D$6)*(('AR5 Gear Ratios'!$B$12*3.14)/63360)</f>
        <v>5.7369956559615058</v>
      </c>
      <c r="Y5" s="6">
        <f t="shared" si="9"/>
        <v>0.71799292746221111</v>
      </c>
      <c r="Z5" s="6">
        <f>$H5*'AR5 Gear Ratios'!$D$6/('AR5 Gear Ratios'!$B$12/24)</f>
        <v>599.18121019108276</v>
      </c>
      <c r="AA5" s="16" t="e">
        <f>(60*B5/'AR5 Gear Ratios'!$D$7)*(('AR5 Gear Ratios'!$B$12*3.14)/63360)</f>
        <v>#DIV/0!</v>
      </c>
      <c r="AB5" s="6" t="e">
        <f t="shared" si="10"/>
        <v>#DIV/0!</v>
      </c>
      <c r="AC5" s="6">
        <f>$H5*'AR5 Gear Ratios'!$D$7/('AR5 Gear Ratios'!$B$12/24)</f>
        <v>0</v>
      </c>
    </row>
    <row r="6" spans="1:34" x14ac:dyDescent="0.3">
      <c r="A6" s="2">
        <v>3</v>
      </c>
      <c r="B6" s="2">
        <v>300</v>
      </c>
      <c r="C6" s="6">
        <f t="shared" si="0"/>
        <v>5</v>
      </c>
      <c r="D6" s="6">
        <f t="shared" si="1"/>
        <v>31.400000000000002</v>
      </c>
      <c r="E6" s="6">
        <f t="shared" si="2"/>
        <v>13.75</v>
      </c>
      <c r="F6" s="6">
        <f t="shared" si="11"/>
        <v>7562.5</v>
      </c>
      <c r="G6" s="7">
        <f t="shared" si="3"/>
        <v>10253.375</v>
      </c>
      <c r="H6" s="6">
        <f t="shared" si="4"/>
        <v>240.84394904458597</v>
      </c>
      <c r="I6" s="6">
        <f>SQRT((G6*2)/'Acceleration Inputs'!$C$8)</f>
        <v>4.7544285171826912</v>
      </c>
      <c r="J6" s="6">
        <f t="shared" si="12"/>
        <v>10.630902164420499</v>
      </c>
      <c r="K6" s="5">
        <f>AVERAGE($J$4:J6)</f>
        <v>8.4829172200679164</v>
      </c>
      <c r="L6" s="16">
        <f>(60*B6/'AR5 Gear Ratios'!$D$2)*(('AR5 Gear Ratios'!$B$12*3.14)/63360)</f>
        <v>1.6752027315407596</v>
      </c>
      <c r="M6" s="6">
        <f t="shared" si="5"/>
        <v>6.1218948967137969E-2</v>
      </c>
      <c r="N6" s="6">
        <f>$H6*'AR5 Gear Ratios'!$D$2/('AR5 Gear Ratios'!$B$12/24)</f>
        <v>3077.9856687898086</v>
      </c>
      <c r="O6" s="16">
        <f>(60*B6/'AR5 Gear Ratios'!$D$3)*(('AR5 Gear Ratios'!$B$12*3.14)/63360)</f>
        <v>2.779650550122942</v>
      </c>
      <c r="P6" s="6">
        <f t="shared" si="6"/>
        <v>0.16855107483952891</v>
      </c>
      <c r="Q6" s="6">
        <f>$H6*'AR5 Gear Ratios'!$D$3/('AR5 Gear Ratios'!$B$12/24)</f>
        <v>1854.9993630573244</v>
      </c>
      <c r="R6" s="16">
        <f>(60*B6/'AR5 Gear Ratios'!$D$4)*(('AR5 Gear Ratios'!$B$12*3.14)/63360)</f>
        <v>4.5854089366991593</v>
      </c>
      <c r="S6" s="6">
        <f t="shared" si="7"/>
        <v>0.4586773242316467</v>
      </c>
      <c r="T6" s="6">
        <f>$H6*'AR5 Gear Ratios'!$D$4/('AR5 Gear Ratios'!$B$12/24)</f>
        <v>1124.4907643312101</v>
      </c>
      <c r="U6" s="16">
        <f>(60*B6/'AR5 Gear Ratios'!$D$5)*(('AR5 Gear Ratios'!$B$12*3.14)/63360)</f>
        <v>6.2820102432778491</v>
      </c>
      <c r="V6" s="6">
        <f t="shared" si="8"/>
        <v>0.86089146985037779</v>
      </c>
      <c r="W6" s="6">
        <f>$H6*'AR5 Gear Ratios'!$D$5/('AR5 Gear Ratios'!$B$12/24)</f>
        <v>820.7961783439489</v>
      </c>
      <c r="X6" s="16">
        <f>(60*B6/'AR5 Gear Ratios'!$D$6)*(('AR5 Gear Ratios'!$B$12*3.14)/63360)</f>
        <v>8.6054934839422597</v>
      </c>
      <c r="Y6" s="6">
        <f t="shared" si="9"/>
        <v>1.6154840867899756</v>
      </c>
      <c r="Z6" s="6">
        <f>$H6*'AR5 Gear Ratios'!$D$6/('AR5 Gear Ratios'!$B$12/24)</f>
        <v>599.18121019108276</v>
      </c>
      <c r="AA6" s="16" t="e">
        <f>(60*B6/'AR5 Gear Ratios'!$D$7)*(('AR5 Gear Ratios'!$B$12*3.14)/63360)</f>
        <v>#DIV/0!</v>
      </c>
      <c r="AB6" s="6" t="e">
        <f t="shared" si="10"/>
        <v>#DIV/0!</v>
      </c>
      <c r="AC6" s="6">
        <f>$H6*'AR5 Gear Ratios'!$D$7/('AR5 Gear Ratios'!$B$12/24)</f>
        <v>0</v>
      </c>
    </row>
    <row r="7" spans="1:34" x14ac:dyDescent="0.3">
      <c r="A7" s="2">
        <v>4</v>
      </c>
      <c r="B7" s="2">
        <v>400</v>
      </c>
      <c r="C7" s="6">
        <f t="shared" si="0"/>
        <v>6.666666666666667</v>
      </c>
      <c r="D7" s="6">
        <f t="shared" si="1"/>
        <v>41.866666666666667</v>
      </c>
      <c r="E7" s="6">
        <f t="shared" si="2"/>
        <v>18.333333333333332</v>
      </c>
      <c r="F7" s="6">
        <f t="shared" si="11"/>
        <v>10083.333333333332</v>
      </c>
      <c r="G7" s="7">
        <f t="shared" si="3"/>
        <v>13671.166666666666</v>
      </c>
      <c r="H7" s="6">
        <f t="shared" si="4"/>
        <v>240.84394904458597</v>
      </c>
      <c r="I7" s="6">
        <f>SQRT((G7*2)/'Acceleration Inputs'!$C$8)</f>
        <v>5.4899411684765198</v>
      </c>
      <c r="J7" s="6">
        <f t="shared" si="12"/>
        <v>12.275508452713499</v>
      </c>
      <c r="K7" s="5">
        <f>AVERAGE($J$4:J7)</f>
        <v>9.4310650282293125</v>
      </c>
      <c r="L7" s="16">
        <f>(60*B7/'AR5 Gear Ratios'!$D$2)*(('AR5 Gear Ratios'!$B$12*3.14)/63360)</f>
        <v>2.2336036420543461</v>
      </c>
      <c r="M7" s="6">
        <f t="shared" si="5"/>
        <v>0.10883368705268973</v>
      </c>
      <c r="N7" s="6">
        <f>$H7*'AR5 Gear Ratios'!$D$2/('AR5 Gear Ratios'!$B$12/24)</f>
        <v>3077.9856687898086</v>
      </c>
      <c r="O7" s="16">
        <f>(60*B7/'AR5 Gear Ratios'!$D$3)*(('AR5 Gear Ratios'!$B$12*3.14)/63360)</f>
        <v>3.7062007334972558</v>
      </c>
      <c r="P7" s="6">
        <f t="shared" si="6"/>
        <v>0.29964635527027356</v>
      </c>
      <c r="Q7" s="6">
        <f>$H7*'AR5 Gear Ratios'!$D$3/('AR5 Gear Ratios'!$B$12/24)</f>
        <v>1854.9993630573244</v>
      </c>
      <c r="R7" s="16">
        <f>(60*B7/'AR5 Gear Ratios'!$D$4)*(('AR5 Gear Ratios'!$B$12*3.14)/63360)</f>
        <v>6.1138785822655457</v>
      </c>
      <c r="S7" s="6">
        <f t="shared" si="7"/>
        <v>0.81542635418959408</v>
      </c>
      <c r="T7" s="6">
        <f>$H7*'AR5 Gear Ratios'!$D$4/('AR5 Gear Ratios'!$B$12/24)</f>
        <v>1124.4907643312101</v>
      </c>
      <c r="U7" s="16">
        <f>(60*B7/'AR5 Gear Ratios'!$D$5)*(('AR5 Gear Ratios'!$B$12*3.14)/63360)</f>
        <v>8.3760136577037976</v>
      </c>
      <c r="V7" s="6">
        <f t="shared" si="8"/>
        <v>1.5304737241784492</v>
      </c>
      <c r="W7" s="6">
        <f>$H7*'AR5 Gear Ratios'!$D$5/('AR5 Gear Ratios'!$B$12/24)</f>
        <v>820.7961783439489</v>
      </c>
      <c r="X7" s="16">
        <f>(60*B7/'AR5 Gear Ratios'!$D$6)*(('AR5 Gear Ratios'!$B$12*3.14)/63360)</f>
        <v>11.473991311923012</v>
      </c>
      <c r="Y7" s="6">
        <f t="shared" si="9"/>
        <v>2.8719717098488444</v>
      </c>
      <c r="Z7" s="6">
        <f>$H7*'AR5 Gear Ratios'!$D$6/('AR5 Gear Ratios'!$B$12/24)</f>
        <v>599.18121019108276</v>
      </c>
      <c r="AA7" s="16" t="e">
        <f>(60*B7/'AR5 Gear Ratios'!$D$7)*(('AR5 Gear Ratios'!$B$12*3.14)/63360)</f>
        <v>#DIV/0!</v>
      </c>
      <c r="AB7" s="6" t="e">
        <f t="shared" si="10"/>
        <v>#DIV/0!</v>
      </c>
      <c r="AC7" s="6">
        <f>$H7*'AR5 Gear Ratios'!$D$7/('AR5 Gear Ratios'!$B$12/24)</f>
        <v>0</v>
      </c>
    </row>
    <row r="8" spans="1:34" x14ac:dyDescent="0.3">
      <c r="A8" s="2">
        <v>5</v>
      </c>
      <c r="B8" s="2">
        <v>500</v>
      </c>
      <c r="C8" s="6">
        <f t="shared" si="0"/>
        <v>8.3333333333333339</v>
      </c>
      <c r="D8" s="6">
        <f t="shared" si="1"/>
        <v>52.333333333333336</v>
      </c>
      <c r="E8" s="6">
        <f t="shared" si="2"/>
        <v>22.916666666666664</v>
      </c>
      <c r="F8" s="6">
        <f t="shared" si="11"/>
        <v>12604.166666666666</v>
      </c>
      <c r="G8" s="7">
        <f t="shared" si="3"/>
        <v>17088.958333333332</v>
      </c>
      <c r="H8" s="6">
        <f t="shared" si="4"/>
        <v>240.84394904458597</v>
      </c>
      <c r="I8" s="6">
        <f>SQRT((G8*2)/'Acceleration Inputs'!$C$8)</f>
        <v>6.1379408225940617</v>
      </c>
      <c r="J8" s="6">
        <f t="shared" si="12"/>
        <v>13.724435679320322</v>
      </c>
      <c r="K8" s="5">
        <f>AVERAGE($J$4:J8)</f>
        <v>10.289739158447514</v>
      </c>
      <c r="L8" s="16">
        <f>(60*B8/'AR5 Gear Ratios'!$D$2)*(('AR5 Gear Ratios'!$B$12*3.14)/63360)</f>
        <v>2.7920045525679327</v>
      </c>
      <c r="M8" s="6">
        <f t="shared" si="5"/>
        <v>0.17005263601982765</v>
      </c>
      <c r="N8" s="6">
        <f>$H8*'AR5 Gear Ratios'!$D$2/('AR5 Gear Ratios'!$B$12/24)</f>
        <v>3077.9856687898086</v>
      </c>
      <c r="O8" s="16">
        <f>(60*B8/'AR5 Gear Ratios'!$D$3)*(('AR5 Gear Ratios'!$B$12*3.14)/63360)</f>
        <v>4.6327509168715695</v>
      </c>
      <c r="P8" s="6">
        <f t="shared" si="6"/>
        <v>0.46819743010980241</v>
      </c>
      <c r="Q8" s="6">
        <f>$H8*'AR5 Gear Ratios'!$D$3/('AR5 Gear Ratios'!$B$12/24)</f>
        <v>1854.9993630573244</v>
      </c>
      <c r="R8" s="16">
        <f>(60*B8/'AR5 Gear Ratios'!$D$4)*(('AR5 Gear Ratios'!$B$12*3.14)/63360)</f>
        <v>7.6423482278319321</v>
      </c>
      <c r="S8" s="6">
        <f t="shared" si="7"/>
        <v>1.2741036784212405</v>
      </c>
      <c r="T8" s="6">
        <f>$H8*'AR5 Gear Ratios'!$D$4/('AR5 Gear Ratios'!$B$12/24)</f>
        <v>1124.4907643312101</v>
      </c>
      <c r="U8" s="16">
        <f>(60*B8/'AR5 Gear Ratios'!$D$5)*(('AR5 Gear Ratios'!$B$12*3.14)/63360)</f>
        <v>10.47001707212975</v>
      </c>
      <c r="V8" s="6">
        <f t="shared" si="8"/>
        <v>2.3913651940288276</v>
      </c>
      <c r="W8" s="6">
        <f>$H8*'AR5 Gear Ratios'!$D$5/('AR5 Gear Ratios'!$B$12/24)</f>
        <v>820.7961783439489</v>
      </c>
      <c r="X8" s="16">
        <f>(60*B8/'AR5 Gear Ratios'!$D$6)*(('AR5 Gear Ratios'!$B$12*3.14)/63360)</f>
        <v>14.342489139903764</v>
      </c>
      <c r="Y8" s="6">
        <f t="shared" si="9"/>
        <v>4.4874557966388195</v>
      </c>
      <c r="Z8" s="6">
        <f>$H8*'AR5 Gear Ratios'!$D$6/('AR5 Gear Ratios'!$B$12/24)</f>
        <v>599.18121019108276</v>
      </c>
      <c r="AA8" s="16" t="e">
        <f>(60*B8/'AR5 Gear Ratios'!$D$7)*(('AR5 Gear Ratios'!$B$12*3.14)/63360)</f>
        <v>#DIV/0!</v>
      </c>
      <c r="AB8" s="6" t="e">
        <f t="shared" si="10"/>
        <v>#DIV/0!</v>
      </c>
      <c r="AC8" s="6">
        <f>$H8*'AR5 Gear Ratios'!$D$7/('AR5 Gear Ratios'!$B$12/24)</f>
        <v>0</v>
      </c>
    </row>
    <row r="9" spans="1:34" x14ac:dyDescent="0.3">
      <c r="A9" s="2">
        <v>6</v>
      </c>
      <c r="B9" s="2">
        <v>600</v>
      </c>
      <c r="C9" s="6">
        <f t="shared" si="0"/>
        <v>10</v>
      </c>
      <c r="D9" s="6">
        <f t="shared" si="1"/>
        <v>62.800000000000004</v>
      </c>
      <c r="E9" s="6">
        <f t="shared" si="2"/>
        <v>27.5</v>
      </c>
      <c r="F9" s="6">
        <f t="shared" si="11"/>
        <v>15125</v>
      </c>
      <c r="G9" s="7">
        <f t="shared" si="3"/>
        <v>20506.75</v>
      </c>
      <c r="H9" s="6">
        <f t="shared" si="4"/>
        <v>240.84394904458597</v>
      </c>
      <c r="I9" s="6">
        <f>SQRT((G9*2)/'Acceleration Inputs'!$C$8)</f>
        <v>6.7237772903331656</v>
      </c>
      <c r="J9" s="6">
        <f t="shared" si="12"/>
        <v>15.03436602118496</v>
      </c>
      <c r="K9" s="5">
        <f>AVERAGE($J$4:J9)</f>
        <v>11.080510302237089</v>
      </c>
      <c r="L9" s="16">
        <f>(60*B9/'AR5 Gear Ratios'!$D$2)*(('AR5 Gear Ratios'!$B$12*3.14)/63360)</f>
        <v>3.3504054630815192</v>
      </c>
      <c r="M9" s="6">
        <f t="shared" si="5"/>
        <v>0.24487579586855188</v>
      </c>
      <c r="N9" s="6">
        <f>$H9*'AR5 Gear Ratios'!$D$2/('AR5 Gear Ratios'!$B$12/24)</f>
        <v>3077.9856687898086</v>
      </c>
      <c r="O9" s="16">
        <f>(60*B9/'AR5 Gear Ratios'!$D$3)*(('AR5 Gear Ratios'!$B$12*3.14)/63360)</f>
        <v>5.5593011002458841</v>
      </c>
      <c r="P9" s="6">
        <f t="shared" si="6"/>
        <v>0.67420429935811566</v>
      </c>
      <c r="Q9" s="6">
        <f>$H9*'AR5 Gear Ratios'!$D$3/('AR5 Gear Ratios'!$B$12/24)</f>
        <v>1854.9993630573244</v>
      </c>
      <c r="R9" s="16">
        <f>(60*B9/'AR5 Gear Ratios'!$D$4)*(('AR5 Gear Ratios'!$B$12*3.14)/63360)</f>
        <v>9.1708178733983186</v>
      </c>
      <c r="S9" s="6">
        <f t="shared" si="7"/>
        <v>1.8347092969265868</v>
      </c>
      <c r="T9" s="6">
        <f>$H9*'AR5 Gear Ratios'!$D$4/('AR5 Gear Ratios'!$B$12/24)</f>
        <v>1124.4907643312101</v>
      </c>
      <c r="U9" s="16">
        <f>(60*B9/'AR5 Gear Ratios'!$D$5)*(('AR5 Gear Ratios'!$B$12*3.14)/63360)</f>
        <v>12.564020486555698</v>
      </c>
      <c r="V9" s="6">
        <f t="shared" si="8"/>
        <v>3.4435658794015112</v>
      </c>
      <c r="W9" s="6">
        <f>$H9*'AR5 Gear Ratios'!$D$5/('AR5 Gear Ratios'!$B$12/24)</f>
        <v>820.7961783439489</v>
      </c>
      <c r="X9" s="16">
        <f>(60*B9/'AR5 Gear Ratios'!$D$6)*(('AR5 Gear Ratios'!$B$12*3.14)/63360)</f>
        <v>17.210986967884519</v>
      </c>
      <c r="Y9" s="6">
        <f t="shared" si="9"/>
        <v>6.4619363471599023</v>
      </c>
      <c r="Z9" s="6">
        <f>$H9*'AR5 Gear Ratios'!$D$6/('AR5 Gear Ratios'!$B$12/24)</f>
        <v>599.18121019108276</v>
      </c>
      <c r="AA9" s="16" t="e">
        <f>(60*B9/'AR5 Gear Ratios'!$D$7)*(('AR5 Gear Ratios'!$B$12*3.14)/63360)</f>
        <v>#DIV/0!</v>
      </c>
      <c r="AB9" s="6" t="e">
        <f t="shared" si="10"/>
        <v>#DIV/0!</v>
      </c>
      <c r="AC9" s="6">
        <f>$H9*'AR5 Gear Ratios'!$D$7/('AR5 Gear Ratios'!$B$12/24)</f>
        <v>0</v>
      </c>
    </row>
    <row r="10" spans="1:34" x14ac:dyDescent="0.3">
      <c r="A10" s="2">
        <v>7</v>
      </c>
      <c r="B10" s="2">
        <v>700</v>
      </c>
      <c r="C10" s="6">
        <f t="shared" si="0"/>
        <v>11.666666666666666</v>
      </c>
      <c r="D10" s="6">
        <f t="shared" si="1"/>
        <v>73.266666666666666</v>
      </c>
      <c r="E10" s="6">
        <f t="shared" si="2"/>
        <v>32.083333333333336</v>
      </c>
      <c r="F10" s="6">
        <f t="shared" si="11"/>
        <v>17645.833333333336</v>
      </c>
      <c r="G10" s="7">
        <f t="shared" si="3"/>
        <v>23924.541666666672</v>
      </c>
      <c r="H10" s="6">
        <f t="shared" si="4"/>
        <v>240.84394904458603</v>
      </c>
      <c r="I10" s="6">
        <f>SQRT((G10*2)/'Acceleration Inputs'!$C$8)</f>
        <v>7.2625095220821123</v>
      </c>
      <c r="J10" s="6">
        <f t="shared" si="12"/>
        <v>16.238971291375606</v>
      </c>
      <c r="K10" s="5">
        <f>AVERAGE($J$4:J10)</f>
        <v>11.817433300685449</v>
      </c>
      <c r="L10" s="16">
        <f>(60*B10/'AR5 Gear Ratios'!$D$2)*(('AR5 Gear Ratios'!$B$12*3.14)/63360)</f>
        <v>3.9088063735951057</v>
      </c>
      <c r="M10" s="6">
        <f t="shared" si="5"/>
        <v>0.33330316659886217</v>
      </c>
      <c r="N10" s="6">
        <f>$H10*'AR5 Gear Ratios'!$D$2/('AR5 Gear Ratios'!$B$12/24)</f>
        <v>3077.9856687898091</v>
      </c>
      <c r="O10" s="16">
        <f>(60*B10/'AR5 Gear Ratios'!$D$3)*(('AR5 Gear Ratios'!$B$12*3.14)/63360)</f>
        <v>6.4858512836201978</v>
      </c>
      <c r="P10" s="6">
        <f t="shared" si="6"/>
        <v>0.91766696301521278</v>
      </c>
      <c r="Q10" s="6">
        <f>$H10*'AR5 Gear Ratios'!$D$3/('AR5 Gear Ratios'!$B$12/24)</f>
        <v>1854.9993630573249</v>
      </c>
      <c r="R10" s="16">
        <f>(60*B10/'AR5 Gear Ratios'!$D$4)*(('AR5 Gear Ratios'!$B$12*3.14)/63360)</f>
        <v>10.699287518964706</v>
      </c>
      <c r="S10" s="6">
        <f t="shared" si="7"/>
        <v>2.4972432097056325</v>
      </c>
      <c r="T10" s="6">
        <f>$H10*'AR5 Gear Ratios'!$D$4/('AR5 Gear Ratios'!$B$12/24)</f>
        <v>1124.4907643312104</v>
      </c>
      <c r="U10" s="16">
        <f>(60*B10/'AR5 Gear Ratios'!$D$5)*(('AR5 Gear Ratios'!$B$12*3.14)/63360)</f>
        <v>14.658023900981647</v>
      </c>
      <c r="V10" s="6">
        <f t="shared" si="8"/>
        <v>4.6870757802965013</v>
      </c>
      <c r="W10" s="6">
        <f>$H10*'AR5 Gear Ratios'!$D$5/('AR5 Gear Ratios'!$B$12/24)</f>
        <v>820.79617834394912</v>
      </c>
      <c r="X10" s="16">
        <f>(60*B10/'AR5 Gear Ratios'!$D$6)*(('AR5 Gear Ratios'!$B$12*3.14)/63360)</f>
        <v>20.07948479586527</v>
      </c>
      <c r="Y10" s="6">
        <f t="shared" si="9"/>
        <v>8.795413361412086</v>
      </c>
      <c r="Z10" s="6">
        <f>$H10*'AR5 Gear Ratios'!$D$6/('AR5 Gear Ratios'!$B$12/24)</f>
        <v>599.18121019108287</v>
      </c>
      <c r="AA10" s="16" t="e">
        <f>(60*B10/'AR5 Gear Ratios'!$D$7)*(('AR5 Gear Ratios'!$B$12*3.14)/63360)</f>
        <v>#DIV/0!</v>
      </c>
      <c r="AB10" s="6" t="e">
        <f t="shared" si="10"/>
        <v>#DIV/0!</v>
      </c>
      <c r="AC10" s="6">
        <f>$H10*'AR5 Gear Ratios'!$D$7/('AR5 Gear Ratios'!$B$12/24)</f>
        <v>0</v>
      </c>
    </row>
    <row r="11" spans="1:34" x14ac:dyDescent="0.3">
      <c r="A11" s="2">
        <v>8</v>
      </c>
      <c r="B11" s="2">
        <v>800</v>
      </c>
      <c r="C11" s="6">
        <f t="shared" si="0"/>
        <v>13.333333333333334</v>
      </c>
      <c r="D11" s="6">
        <f t="shared" si="1"/>
        <v>83.733333333333334</v>
      </c>
      <c r="E11" s="6">
        <f t="shared" si="2"/>
        <v>36.666666666666664</v>
      </c>
      <c r="F11" s="6">
        <f t="shared" si="11"/>
        <v>20166.666666666664</v>
      </c>
      <c r="G11" s="7">
        <f t="shared" si="3"/>
        <v>27342.333333333332</v>
      </c>
      <c r="H11" s="6">
        <f t="shared" si="4"/>
        <v>240.84394904458597</v>
      </c>
      <c r="I11" s="6">
        <f>SQRT((G11*2)/'Acceleration Inputs'!$C$8)</f>
        <v>7.7639492570898909</v>
      </c>
      <c r="J11" s="6">
        <f t="shared" si="12"/>
        <v>17.360190538852997</v>
      </c>
      <c r="K11" s="5">
        <f>AVERAGE($J$4:J11)</f>
        <v>12.510277955456392</v>
      </c>
      <c r="L11" s="16">
        <f>(60*B11/'AR5 Gear Ratios'!$D$2)*(('AR5 Gear Ratios'!$B$12*3.14)/63360)</f>
        <v>4.4672072841086923</v>
      </c>
      <c r="M11" s="6">
        <f t="shared" si="5"/>
        <v>0.4353347482107589</v>
      </c>
      <c r="N11" s="6">
        <f>$H11*'AR5 Gear Ratios'!$D$2/('AR5 Gear Ratios'!$B$12/24)</f>
        <v>3077.9856687898086</v>
      </c>
      <c r="O11" s="16">
        <f>(60*B11/'AR5 Gear Ratios'!$D$3)*(('AR5 Gear Ratios'!$B$12*3.14)/63360)</f>
        <v>7.4124014669945115</v>
      </c>
      <c r="P11" s="6">
        <f t="shared" si="6"/>
        <v>1.1985854210810942</v>
      </c>
      <c r="Q11" s="6">
        <f>$H11*'AR5 Gear Ratios'!$D$3/('AR5 Gear Ratios'!$B$12/24)</f>
        <v>1854.9993630573244</v>
      </c>
      <c r="R11" s="16">
        <f>(60*B11/'AR5 Gear Ratios'!$D$4)*(('AR5 Gear Ratios'!$B$12*3.14)/63360)</f>
        <v>12.227757164531091</v>
      </c>
      <c r="S11" s="6">
        <f t="shared" si="7"/>
        <v>3.2617054167583763</v>
      </c>
      <c r="T11" s="6">
        <f>$H11*'AR5 Gear Ratios'!$D$4/('AR5 Gear Ratios'!$B$12/24)</f>
        <v>1124.4907643312101</v>
      </c>
      <c r="U11" s="16">
        <f>(60*B11/'AR5 Gear Ratios'!$D$5)*(('AR5 Gear Ratios'!$B$12*3.14)/63360)</f>
        <v>16.752027315407595</v>
      </c>
      <c r="V11" s="6">
        <f t="shared" si="8"/>
        <v>6.1218948967137967</v>
      </c>
      <c r="W11" s="6">
        <f>$H11*'AR5 Gear Ratios'!$D$5/('AR5 Gear Ratios'!$B$12/24)</f>
        <v>820.7961783439489</v>
      </c>
      <c r="X11" s="16">
        <f>(60*B11/'AR5 Gear Ratios'!$D$6)*(('AR5 Gear Ratios'!$B$12*3.14)/63360)</f>
        <v>22.947982623846023</v>
      </c>
      <c r="Y11" s="6">
        <f t="shared" si="9"/>
        <v>11.487886839395378</v>
      </c>
      <c r="Z11" s="6">
        <f>$H11*'AR5 Gear Ratios'!$D$6/('AR5 Gear Ratios'!$B$12/24)</f>
        <v>599.18121019108276</v>
      </c>
      <c r="AA11" s="16" t="e">
        <f>(60*B11/'AR5 Gear Ratios'!$D$7)*(('AR5 Gear Ratios'!$B$12*3.14)/63360)</f>
        <v>#DIV/0!</v>
      </c>
      <c r="AB11" s="6" t="e">
        <f t="shared" si="10"/>
        <v>#DIV/0!</v>
      </c>
      <c r="AC11" s="6">
        <f>$H11*'AR5 Gear Ratios'!$D$7/('AR5 Gear Ratios'!$B$12/24)</f>
        <v>0</v>
      </c>
    </row>
    <row r="12" spans="1:34" x14ac:dyDescent="0.3">
      <c r="A12" s="2">
        <v>9</v>
      </c>
      <c r="B12" s="2">
        <v>900</v>
      </c>
      <c r="C12" s="6">
        <f>B12/60</f>
        <v>15</v>
      </c>
      <c r="D12" s="6">
        <f>C12*2*3.14</f>
        <v>94.2</v>
      </c>
      <c r="E12" s="6">
        <f t="shared" si="2"/>
        <v>41.25</v>
      </c>
      <c r="F12" s="6">
        <f>E12*550</f>
        <v>22687.5</v>
      </c>
      <c r="G12" s="7">
        <f t="shared" si="3"/>
        <v>30760.125000000004</v>
      </c>
      <c r="H12" s="6">
        <f t="shared" si="4"/>
        <v>240.84394904458597</v>
      </c>
      <c r="I12" s="6">
        <f>SQRT((G12*2)/'Acceleration Inputs'!$C$8)</f>
        <v>8.2349117527147797</v>
      </c>
      <c r="J12" s="6">
        <f t="shared" si="12"/>
        <v>18.41326267907025</v>
      </c>
      <c r="K12" s="5">
        <f>AVERAGE($J$4:J12)</f>
        <v>13.166165146969043</v>
      </c>
      <c r="L12" s="16">
        <f>(60*B12/'AR5 Gear Ratios'!$D$2)*(('AR5 Gear Ratios'!$B$12*3.14)/63360)</f>
        <v>5.0256081946222793</v>
      </c>
      <c r="M12" s="6">
        <f t="shared" si="5"/>
        <v>0.55097054070424178</v>
      </c>
      <c r="N12" s="6">
        <f>$H12*'AR5 Gear Ratios'!$D$2/('AR5 Gear Ratios'!$B$12/24)</f>
        <v>3077.9856687898086</v>
      </c>
      <c r="O12" s="16">
        <f>(60*B12/'AR5 Gear Ratios'!$D$3)*(('AR5 Gear Ratios'!$B$12*3.14)/63360)</f>
        <v>8.3389516503688252</v>
      </c>
      <c r="P12" s="6">
        <f t="shared" si="6"/>
        <v>1.5169596735557598</v>
      </c>
      <c r="Q12" s="6">
        <f>$H12*'AR5 Gear Ratios'!$D$3/('AR5 Gear Ratios'!$B$12/24)</f>
        <v>1854.9993630573244</v>
      </c>
      <c r="R12" s="16">
        <f>(60*B12/'AR5 Gear Ratios'!$D$4)*(('AR5 Gear Ratios'!$B$12*3.14)/63360)</f>
        <v>13.756226810097479</v>
      </c>
      <c r="S12" s="6">
        <f t="shared" si="7"/>
        <v>4.1280959180848216</v>
      </c>
      <c r="T12" s="6">
        <f>$H12*'AR5 Gear Ratios'!$D$4/('AR5 Gear Ratios'!$B$12/24)</f>
        <v>1124.4907643312101</v>
      </c>
      <c r="U12" s="16">
        <f>(60*B12/'AR5 Gear Ratios'!$D$5)*(('AR5 Gear Ratios'!$B$12*3.14)/63360)</f>
        <v>18.846030729833547</v>
      </c>
      <c r="V12" s="6">
        <f t="shared" si="8"/>
        <v>7.7480232286534019</v>
      </c>
      <c r="W12" s="6">
        <f>$H12*'AR5 Gear Ratios'!$D$5/('AR5 Gear Ratios'!$B$12/24)</f>
        <v>820.7961783439489</v>
      </c>
      <c r="X12" s="16">
        <f>(60*B12/'AR5 Gear Ratios'!$D$6)*(('AR5 Gear Ratios'!$B$12*3.14)/63360)</f>
        <v>25.816480451826777</v>
      </c>
      <c r="Y12" s="6">
        <f t="shared" si="9"/>
        <v>14.539356781109779</v>
      </c>
      <c r="Z12" s="6">
        <f>$H12*'AR5 Gear Ratios'!$D$6/('AR5 Gear Ratios'!$B$12/24)</f>
        <v>599.18121019108276</v>
      </c>
      <c r="AA12" s="16" t="e">
        <f>(60*B12/'AR5 Gear Ratios'!$D$7)*(('AR5 Gear Ratios'!$B$12*3.14)/63360)</f>
        <v>#DIV/0!</v>
      </c>
      <c r="AB12" s="6" t="e">
        <f t="shared" si="10"/>
        <v>#DIV/0!</v>
      </c>
      <c r="AC12" s="6">
        <f>$H12*'AR5 Gear Ratios'!$D$7/('AR5 Gear Ratios'!$B$12/24)</f>
        <v>0</v>
      </c>
    </row>
    <row r="13" spans="1:34" x14ac:dyDescent="0.3">
      <c r="A13" s="2">
        <v>10</v>
      </c>
      <c r="B13" s="2">
        <v>1000</v>
      </c>
      <c r="C13" s="6">
        <f t="shared" si="0"/>
        <v>16.666666666666668</v>
      </c>
      <c r="D13" s="6">
        <f t="shared" si="1"/>
        <v>104.66666666666667</v>
      </c>
      <c r="E13" s="6">
        <f t="shared" si="2"/>
        <v>45.833333333333329</v>
      </c>
      <c r="F13" s="6">
        <f t="shared" si="11"/>
        <v>25208.333333333332</v>
      </c>
      <c r="G13" s="7">
        <f t="shared" si="3"/>
        <v>34177.916666666664</v>
      </c>
      <c r="H13" s="6">
        <f t="shared" si="4"/>
        <v>240.84394904458597</v>
      </c>
      <c r="I13" s="6">
        <f>SQRT((G13*2)/'Acceleration Inputs'!$C$8)</f>
        <v>8.6803591563559941</v>
      </c>
      <c r="J13" s="6">
        <f t="shared" si="12"/>
        <v>19.409283073612006</v>
      </c>
      <c r="K13" s="5">
        <f>AVERAGE($J$4:J13)</f>
        <v>13.79047693963334</v>
      </c>
      <c r="L13" s="16">
        <f>(60*B13/'AR5 Gear Ratios'!$D$2)*(('AR5 Gear Ratios'!$B$12*3.14)/63360)</f>
        <v>5.5840091051358653</v>
      </c>
      <c r="M13" s="6">
        <f t="shared" si="5"/>
        <v>0.68021054407931059</v>
      </c>
      <c r="N13" s="6">
        <f>$H13*'AR5 Gear Ratios'!$D$2/('AR5 Gear Ratios'!$B$12/24)</f>
        <v>3077.9856687898086</v>
      </c>
      <c r="O13" s="16">
        <f>(60*B13/'AR5 Gear Ratios'!$D$3)*(('AR5 Gear Ratios'!$B$12*3.14)/63360)</f>
        <v>9.265501833743139</v>
      </c>
      <c r="P13" s="6">
        <f t="shared" si="6"/>
        <v>1.8727897204392097</v>
      </c>
      <c r="Q13" s="6">
        <f>$H13*'AR5 Gear Ratios'!$D$3/('AR5 Gear Ratios'!$B$12/24)</f>
        <v>1854.9993630573244</v>
      </c>
      <c r="R13" s="16">
        <f>(60*B13/'AR5 Gear Ratios'!$D$4)*(('AR5 Gear Ratios'!$B$12*3.14)/63360)</f>
        <v>15.284696455663864</v>
      </c>
      <c r="S13" s="6">
        <f t="shared" si="7"/>
        <v>5.096414713684962</v>
      </c>
      <c r="T13" s="6">
        <f>$H13*'AR5 Gear Ratios'!$D$4/('AR5 Gear Ratios'!$B$12/24)</f>
        <v>1124.4907643312101</v>
      </c>
      <c r="U13" s="16">
        <f>(60*B13/'AR5 Gear Ratios'!$D$5)*(('AR5 Gear Ratios'!$B$12*3.14)/63360)</f>
        <v>20.940034144259499</v>
      </c>
      <c r="V13" s="6">
        <f t="shared" si="8"/>
        <v>9.5654607761153105</v>
      </c>
      <c r="W13" s="6">
        <f>$H13*'AR5 Gear Ratios'!$D$5/('AR5 Gear Ratios'!$B$12/24)</f>
        <v>820.7961783439489</v>
      </c>
      <c r="X13" s="16">
        <f>(60*B13/'AR5 Gear Ratios'!$D$6)*(('AR5 Gear Ratios'!$B$12*3.14)/63360)</f>
        <v>28.684978279807527</v>
      </c>
      <c r="Y13" s="6">
        <f t="shared" si="9"/>
        <v>17.949823186555278</v>
      </c>
      <c r="Z13" s="6">
        <f>$H13*'AR5 Gear Ratios'!$D$6/('AR5 Gear Ratios'!$B$12/24)</f>
        <v>599.18121019108276</v>
      </c>
      <c r="AA13" s="16" t="e">
        <f>(60*B13/'AR5 Gear Ratios'!$D$7)*(('AR5 Gear Ratios'!$B$12*3.14)/63360)</f>
        <v>#DIV/0!</v>
      </c>
      <c r="AB13" s="6" t="e">
        <f t="shared" si="10"/>
        <v>#DIV/0!</v>
      </c>
      <c r="AC13" s="6">
        <f>$H13*'AR5 Gear Ratios'!$D$7/('AR5 Gear Ratios'!$B$12/24)</f>
        <v>0</v>
      </c>
    </row>
    <row r="14" spans="1:34" x14ac:dyDescent="0.3">
      <c r="A14" s="2">
        <v>11</v>
      </c>
      <c r="B14" s="2">
        <v>1100</v>
      </c>
      <c r="C14" s="6">
        <f t="shared" si="0"/>
        <v>18.333333333333332</v>
      </c>
      <c r="D14" s="6">
        <f t="shared" si="1"/>
        <v>115.13333333333333</v>
      </c>
      <c r="E14" s="6">
        <f t="shared" si="2"/>
        <v>50.416666666666664</v>
      </c>
      <c r="F14" s="6">
        <f t="shared" si="11"/>
        <v>27729.166666666664</v>
      </c>
      <c r="G14" s="7">
        <f t="shared" si="3"/>
        <v>37595.708333333336</v>
      </c>
      <c r="H14" s="6">
        <f t="shared" si="4"/>
        <v>240.84394904458597</v>
      </c>
      <c r="I14" s="6">
        <f>SQRT((G14*2)/'Acceleration Inputs'!$C$8)</f>
        <v>9.1040374884809587</v>
      </c>
      <c r="J14" s="6">
        <f t="shared" si="12"/>
        <v>20.356627824243425</v>
      </c>
      <c r="K14" s="5">
        <f>AVERAGE($J$4:J14)</f>
        <v>14.387399747325164</v>
      </c>
      <c r="L14" s="16">
        <f>(60*B14/'AR5 Gear Ratios'!$D$2)*(('AR5 Gear Ratios'!$B$12*3.14)/63360)</f>
        <v>6.1424100156494523</v>
      </c>
      <c r="M14" s="6">
        <f t="shared" si="5"/>
        <v>0.82305475833596631</v>
      </c>
      <c r="N14" s="6">
        <f>$H14*'AR5 Gear Ratios'!$D$2/('AR5 Gear Ratios'!$B$12/24)</f>
        <v>3077.9856687898086</v>
      </c>
      <c r="O14" s="16">
        <f>(60*B14/'AR5 Gear Ratios'!$D$3)*(('AR5 Gear Ratios'!$B$12*3.14)/63360)</f>
        <v>10.192052017117454</v>
      </c>
      <c r="P14" s="6">
        <f t="shared" si="6"/>
        <v>2.2660755617314443</v>
      </c>
      <c r="Q14" s="6">
        <f>$H14*'AR5 Gear Ratios'!$D$3/('AR5 Gear Ratios'!$B$12/24)</f>
        <v>1854.9993630573244</v>
      </c>
      <c r="R14" s="16">
        <f>(60*B14/'AR5 Gear Ratios'!$D$4)*(('AR5 Gear Ratios'!$B$12*3.14)/63360)</f>
        <v>16.813166101230252</v>
      </c>
      <c r="S14" s="6">
        <f t="shared" si="7"/>
        <v>6.1666618035588057</v>
      </c>
      <c r="T14" s="6">
        <f>$H14*'AR5 Gear Ratios'!$D$4/('AR5 Gear Ratios'!$B$12/24)</f>
        <v>1124.4907643312101</v>
      </c>
      <c r="U14" s="16">
        <f>(60*B14/'AR5 Gear Ratios'!$D$5)*(('AR5 Gear Ratios'!$B$12*3.14)/63360)</f>
        <v>23.034037558685448</v>
      </c>
      <c r="V14" s="6">
        <f t="shared" si="8"/>
        <v>11.574207539099525</v>
      </c>
      <c r="W14" s="6">
        <f>$H14*'AR5 Gear Ratios'!$D$5/('AR5 Gear Ratios'!$B$12/24)</f>
        <v>820.7961783439489</v>
      </c>
      <c r="X14" s="16">
        <f>(60*B14/'AR5 Gear Ratios'!$D$6)*(('AR5 Gear Ratios'!$B$12*3.14)/63360)</f>
        <v>31.553476107788285</v>
      </c>
      <c r="Y14" s="6">
        <f t="shared" si="9"/>
        <v>21.719286055731892</v>
      </c>
      <c r="Z14" s="6">
        <f>$H14*'AR5 Gear Ratios'!$D$6/('AR5 Gear Ratios'!$B$12/24)</f>
        <v>599.18121019108276</v>
      </c>
      <c r="AA14" s="16" t="e">
        <f>(60*B14/'AR5 Gear Ratios'!$D$7)*(('AR5 Gear Ratios'!$B$12*3.14)/63360)</f>
        <v>#DIV/0!</v>
      </c>
      <c r="AB14" s="6" t="e">
        <f t="shared" si="10"/>
        <v>#DIV/0!</v>
      </c>
      <c r="AC14" s="6">
        <f>$H14*'AR5 Gear Ratios'!$D$7/('AR5 Gear Ratios'!$B$12/24)</f>
        <v>0</v>
      </c>
    </row>
    <row r="15" spans="1:34" x14ac:dyDescent="0.3">
      <c r="A15" s="2">
        <v>12</v>
      </c>
      <c r="B15" s="2">
        <v>1200</v>
      </c>
      <c r="C15" s="6">
        <f t="shared" si="0"/>
        <v>20</v>
      </c>
      <c r="D15" s="6">
        <f t="shared" si="1"/>
        <v>125.60000000000001</v>
      </c>
      <c r="E15" s="6">
        <f t="shared" si="2"/>
        <v>55</v>
      </c>
      <c r="F15" s="6">
        <f t="shared" si="11"/>
        <v>30250</v>
      </c>
      <c r="G15" s="7">
        <f t="shared" si="3"/>
        <v>41013.5</v>
      </c>
      <c r="H15" s="6">
        <f t="shared" si="4"/>
        <v>240.84394904458597</v>
      </c>
      <c r="I15" s="6">
        <f>SQRT((G15*2)/'Acceleration Inputs'!$C$8)</f>
        <v>9.5088570343653824</v>
      </c>
      <c r="J15" s="6">
        <f t="shared" si="12"/>
        <v>21.261804328840999</v>
      </c>
      <c r="K15" s="5">
        <f>AVERAGE($J$4:J15)</f>
        <v>14.960266795784818</v>
      </c>
      <c r="L15" s="16">
        <f>(60*B15/'AR5 Gear Ratios'!$D$2)*(('AR5 Gear Ratios'!$B$12*3.14)/63360)</f>
        <v>6.7008109261630384</v>
      </c>
      <c r="M15" s="6">
        <f t="shared" si="5"/>
        <v>0.97950318347420751</v>
      </c>
      <c r="N15" s="6">
        <f>$H15*'AR5 Gear Ratios'!$D$2/('AR5 Gear Ratios'!$B$12/24)</f>
        <v>3077.9856687898086</v>
      </c>
      <c r="O15" s="16">
        <f>(60*B15/'AR5 Gear Ratios'!$D$3)*(('AR5 Gear Ratios'!$B$12*3.14)/63360)</f>
        <v>11.118602200491768</v>
      </c>
      <c r="P15" s="6">
        <f t="shared" si="6"/>
        <v>2.6968171974324626</v>
      </c>
      <c r="Q15" s="6">
        <f>$H15*'AR5 Gear Ratios'!$D$3/('AR5 Gear Ratios'!$B$12/24)</f>
        <v>1854.9993630573244</v>
      </c>
      <c r="R15" s="16">
        <f>(60*B15/'AR5 Gear Ratios'!$D$4)*(('AR5 Gear Ratios'!$B$12*3.14)/63360)</f>
        <v>18.341635746796637</v>
      </c>
      <c r="S15" s="6">
        <f t="shared" si="7"/>
        <v>7.3388371877063472</v>
      </c>
      <c r="T15" s="6">
        <f>$H15*'AR5 Gear Ratios'!$D$4/('AR5 Gear Ratios'!$B$12/24)</f>
        <v>1124.4907643312101</v>
      </c>
      <c r="U15" s="16">
        <f>(60*B15/'AR5 Gear Ratios'!$D$5)*(('AR5 Gear Ratios'!$B$12*3.14)/63360)</f>
        <v>25.128040973111396</v>
      </c>
      <c r="V15" s="6">
        <f t="shared" si="8"/>
        <v>13.774263517606045</v>
      </c>
      <c r="W15" s="6">
        <f>$H15*'AR5 Gear Ratios'!$D$5/('AR5 Gear Ratios'!$B$12/24)</f>
        <v>820.7961783439489</v>
      </c>
      <c r="X15" s="16">
        <f>(60*B15/'AR5 Gear Ratios'!$D$6)*(('AR5 Gear Ratios'!$B$12*3.14)/63360)</f>
        <v>34.421973935769039</v>
      </c>
      <c r="Y15" s="6">
        <f t="shared" si="9"/>
        <v>25.847745388639609</v>
      </c>
      <c r="Z15" s="6">
        <f>$H15*'AR5 Gear Ratios'!$D$6/('AR5 Gear Ratios'!$B$12/24)</f>
        <v>599.18121019108276</v>
      </c>
      <c r="AA15" s="16" t="e">
        <f>(60*B15/'AR5 Gear Ratios'!$D$7)*(('AR5 Gear Ratios'!$B$12*3.14)/63360)</f>
        <v>#DIV/0!</v>
      </c>
      <c r="AB15" s="6" t="e">
        <f t="shared" si="10"/>
        <v>#DIV/0!</v>
      </c>
      <c r="AC15" s="6">
        <f>$H15*'AR5 Gear Ratios'!$D$7/('AR5 Gear Ratios'!$B$12/24)</f>
        <v>0</v>
      </c>
    </row>
    <row r="16" spans="1:34" x14ac:dyDescent="0.3">
      <c r="A16" s="2">
        <v>13</v>
      </c>
      <c r="B16" s="2">
        <v>1300</v>
      </c>
      <c r="C16" s="6">
        <f t="shared" si="0"/>
        <v>21.666666666666668</v>
      </c>
      <c r="D16" s="6">
        <f t="shared" si="1"/>
        <v>136.06666666666669</v>
      </c>
      <c r="E16" s="6">
        <f t="shared" si="2"/>
        <v>59.583333333333336</v>
      </c>
      <c r="F16" s="6">
        <f t="shared" si="11"/>
        <v>32770.833333333336</v>
      </c>
      <c r="G16" s="7">
        <f t="shared" si="3"/>
        <v>44431.291666666672</v>
      </c>
      <c r="H16" s="6">
        <f t="shared" si="4"/>
        <v>240.84394904458597</v>
      </c>
      <c r="I16" s="6">
        <f>SQRT((G16*2)/'Acceleration Inputs'!$C$8)</f>
        <v>9.8971321911113908</v>
      </c>
      <c r="J16" s="6">
        <f t="shared" si="12"/>
        <v>22.129987579325071</v>
      </c>
      <c r="K16" s="5">
        <f>AVERAGE($J$4:J16)</f>
        <v>15.511783779134069</v>
      </c>
      <c r="L16" s="16">
        <f>(60*B16/'AR5 Gear Ratios'!$D$2)*(('AR5 Gear Ratios'!$B$12*3.14)/63360)</f>
        <v>7.2592118366766254</v>
      </c>
      <c r="M16" s="6">
        <f t="shared" si="5"/>
        <v>1.1495558194940354</v>
      </c>
      <c r="N16" s="6">
        <f>$H16*'AR5 Gear Ratios'!$D$2/('AR5 Gear Ratios'!$B$12/24)</f>
        <v>3077.9856687898086</v>
      </c>
      <c r="O16" s="16">
        <f>(60*B16/'AR5 Gear Ratios'!$D$3)*(('AR5 Gear Ratios'!$B$12*3.14)/63360)</f>
        <v>12.045152383866082</v>
      </c>
      <c r="P16" s="6">
        <f t="shared" si="6"/>
        <v>3.1650146275422655</v>
      </c>
      <c r="Q16" s="6">
        <f>$H16*'AR5 Gear Ratios'!$D$3/('AR5 Gear Ratios'!$B$12/24)</f>
        <v>1854.9993630573244</v>
      </c>
      <c r="R16" s="16">
        <f>(60*B16/'AR5 Gear Ratios'!$D$4)*(('AR5 Gear Ratios'!$B$12*3.14)/63360)</f>
        <v>19.870105392363023</v>
      </c>
      <c r="S16" s="6">
        <f t="shared" si="7"/>
        <v>8.6129408661275857</v>
      </c>
      <c r="T16" s="6">
        <f>$H16*'AR5 Gear Ratios'!$D$4/('AR5 Gear Ratios'!$B$12/24)</f>
        <v>1124.4907643312101</v>
      </c>
      <c r="U16" s="16">
        <f>(60*B16/'AR5 Gear Ratios'!$D$5)*(('AR5 Gear Ratios'!$B$12*3.14)/63360)</f>
        <v>27.222044387537345</v>
      </c>
      <c r="V16" s="6">
        <f t="shared" si="8"/>
        <v>16.16562871163487</v>
      </c>
      <c r="W16" s="6">
        <f>$H16*'AR5 Gear Ratios'!$D$5/('AR5 Gear Ratios'!$B$12/24)</f>
        <v>820.7961783439489</v>
      </c>
      <c r="X16" s="16">
        <f>(60*B16/'AR5 Gear Ratios'!$D$6)*(('AR5 Gear Ratios'!$B$12*3.14)/63360)</f>
        <v>37.290471763749785</v>
      </c>
      <c r="Y16" s="6">
        <f t="shared" si="9"/>
        <v>30.335201185278414</v>
      </c>
      <c r="Z16" s="6">
        <f>$H16*'AR5 Gear Ratios'!$D$6/('AR5 Gear Ratios'!$B$12/24)</f>
        <v>599.18121019108276</v>
      </c>
      <c r="AA16" s="16" t="e">
        <f>(60*B16/'AR5 Gear Ratios'!$D$7)*(('AR5 Gear Ratios'!$B$12*3.14)/63360)</f>
        <v>#DIV/0!</v>
      </c>
      <c r="AB16" s="6" t="e">
        <f t="shared" si="10"/>
        <v>#DIV/0!</v>
      </c>
      <c r="AC16" s="6">
        <f>$H16*'AR5 Gear Ratios'!$D$7/('AR5 Gear Ratios'!$B$12/24)</f>
        <v>0</v>
      </c>
    </row>
    <row r="17" spans="1:29" x14ac:dyDescent="0.3">
      <c r="A17" s="2">
        <v>14</v>
      </c>
      <c r="B17" s="2">
        <v>1400</v>
      </c>
      <c r="C17" s="6">
        <f t="shared" si="0"/>
        <v>23.333333333333332</v>
      </c>
      <c r="D17" s="6">
        <f t="shared" si="1"/>
        <v>146.53333333333333</v>
      </c>
      <c r="E17" s="6">
        <f t="shared" si="2"/>
        <v>64.166666666666671</v>
      </c>
      <c r="F17" s="6">
        <f t="shared" si="11"/>
        <v>35291.666666666672</v>
      </c>
      <c r="G17" s="7">
        <f t="shared" si="3"/>
        <v>47849.083333333343</v>
      </c>
      <c r="H17" s="6">
        <f t="shared" si="4"/>
        <v>240.84394904458603</v>
      </c>
      <c r="I17" s="6">
        <f>SQRT((G17*2)/'Acceleration Inputs'!$C$8)</f>
        <v>10.270739462992267</v>
      </c>
      <c r="J17" s="6">
        <f t="shared" si="12"/>
        <v>22.965373439250712</v>
      </c>
      <c r="K17" s="5">
        <f>AVERAGE($J$4:J17)</f>
        <v>16.044183040570971</v>
      </c>
      <c r="L17" s="16">
        <f>(60*B17/'AR5 Gear Ratios'!$D$2)*(('AR5 Gear Ratios'!$B$12*3.14)/63360)</f>
        <v>7.8176127471902115</v>
      </c>
      <c r="M17" s="6">
        <f t="shared" si="5"/>
        <v>1.3332126663954487</v>
      </c>
      <c r="N17" s="6">
        <f>$H17*'AR5 Gear Ratios'!$D$2/('AR5 Gear Ratios'!$B$12/24)</f>
        <v>3077.9856687898091</v>
      </c>
      <c r="O17" s="16">
        <f>(60*B17/'AR5 Gear Ratios'!$D$3)*(('AR5 Gear Ratios'!$B$12*3.14)/63360)</f>
        <v>12.971702567240396</v>
      </c>
      <c r="P17" s="6">
        <f t="shared" si="6"/>
        <v>3.6706678520608511</v>
      </c>
      <c r="Q17" s="6">
        <f>$H17*'AR5 Gear Ratios'!$D$3/('AR5 Gear Ratios'!$B$12/24)</f>
        <v>1854.9993630573249</v>
      </c>
      <c r="R17" s="16">
        <f>(60*B17/'AR5 Gear Ratios'!$D$4)*(('AR5 Gear Ratios'!$B$12*3.14)/63360)</f>
        <v>21.398575037929412</v>
      </c>
      <c r="S17" s="6">
        <f t="shared" si="7"/>
        <v>9.9889728388225301</v>
      </c>
      <c r="T17" s="6">
        <f>$H17*'AR5 Gear Ratios'!$D$4/('AR5 Gear Ratios'!$B$12/24)</f>
        <v>1124.4907643312104</v>
      </c>
      <c r="U17" s="16">
        <f>(60*B17/'AR5 Gear Ratios'!$D$5)*(('AR5 Gear Ratios'!$B$12*3.14)/63360)</f>
        <v>29.316047801963293</v>
      </c>
      <c r="V17" s="6">
        <f t="shared" si="8"/>
        <v>18.748303121186005</v>
      </c>
      <c r="W17" s="6">
        <f>$H17*'AR5 Gear Ratios'!$D$5/('AR5 Gear Ratios'!$B$12/24)</f>
        <v>820.79617834394912</v>
      </c>
      <c r="X17" s="16">
        <f>(60*B17/'AR5 Gear Ratios'!$D$6)*(('AR5 Gear Ratios'!$B$12*3.14)/63360)</f>
        <v>40.158969591730539</v>
      </c>
      <c r="Y17" s="6">
        <f t="shared" si="9"/>
        <v>35.181653445648344</v>
      </c>
      <c r="Z17" s="6">
        <f>$H17*'AR5 Gear Ratios'!$D$6/('AR5 Gear Ratios'!$B$12/24)</f>
        <v>599.18121019108287</v>
      </c>
      <c r="AA17" s="16" t="e">
        <f>(60*B17/'AR5 Gear Ratios'!$D$7)*(('AR5 Gear Ratios'!$B$12*3.14)/63360)</f>
        <v>#DIV/0!</v>
      </c>
      <c r="AB17" s="6" t="e">
        <f t="shared" si="10"/>
        <v>#DIV/0!</v>
      </c>
      <c r="AC17" s="6">
        <f>$H17*'AR5 Gear Ratios'!$D$7/('AR5 Gear Ratios'!$B$12/24)</f>
        <v>0</v>
      </c>
    </row>
    <row r="18" spans="1:29" x14ac:dyDescent="0.3">
      <c r="A18" s="2">
        <v>15</v>
      </c>
      <c r="B18" s="2">
        <v>1500</v>
      </c>
      <c r="C18" s="6">
        <f t="shared" si="0"/>
        <v>25</v>
      </c>
      <c r="D18" s="6">
        <f t="shared" si="1"/>
        <v>157</v>
      </c>
      <c r="E18" s="6">
        <f t="shared" si="2"/>
        <v>68.75</v>
      </c>
      <c r="F18" s="6">
        <f t="shared" si="11"/>
        <v>37812.5</v>
      </c>
      <c r="G18" s="7">
        <f t="shared" si="3"/>
        <v>51266.875</v>
      </c>
      <c r="H18" s="6">
        <f t="shared" si="4"/>
        <v>240.843949044586</v>
      </c>
      <c r="I18" s="6">
        <f>SQRT((G18*2)/'Acceleration Inputs'!$C$8)</f>
        <v>10.631225358584024</v>
      </c>
      <c r="J18" s="6">
        <f t="shared" si="12"/>
        <v>23.77141990179388</v>
      </c>
      <c r="K18" s="5">
        <f>AVERAGE($J$4:J18)</f>
        <v>16.559332164652499</v>
      </c>
      <c r="L18" s="16">
        <f>(60*B18/'AR5 Gear Ratios'!$D$2)*(('AR5 Gear Ratios'!$B$12*3.14)/63360)</f>
        <v>8.3760136577037976</v>
      </c>
      <c r="M18" s="6">
        <f t="shared" si="5"/>
        <v>1.5304737241784492</v>
      </c>
      <c r="N18" s="6">
        <f>$H18*'AR5 Gear Ratios'!$D$2/('AR5 Gear Ratios'!$B$12/24)</f>
        <v>3077.9856687898086</v>
      </c>
      <c r="O18" s="16">
        <f>(60*B18/'AR5 Gear Ratios'!$D$3)*(('AR5 Gear Ratios'!$B$12*3.14)/63360)</f>
        <v>13.898252750614711</v>
      </c>
      <c r="P18" s="6">
        <f t="shared" si="6"/>
        <v>4.2137768709882231</v>
      </c>
      <c r="Q18" s="6">
        <f>$H18*'AR5 Gear Ratios'!$D$3/('AR5 Gear Ratios'!$B$12/24)</f>
        <v>1854.9993630573247</v>
      </c>
      <c r="R18" s="16">
        <f>(60*B18/'AR5 Gear Ratios'!$D$4)*(('AR5 Gear Ratios'!$B$12*3.14)/63360)</f>
        <v>22.927044683495797</v>
      </c>
      <c r="S18" s="6">
        <f t="shared" si="7"/>
        <v>11.466933105791169</v>
      </c>
      <c r="T18" s="6">
        <f>$H18*'AR5 Gear Ratios'!$D$4/('AR5 Gear Ratios'!$B$12/24)</f>
        <v>1124.4907643312101</v>
      </c>
      <c r="U18" s="16">
        <f>(60*B18/'AR5 Gear Ratios'!$D$5)*(('AR5 Gear Ratios'!$B$12*3.14)/63360)</f>
        <v>31.410051216389245</v>
      </c>
      <c r="V18" s="6">
        <f t="shared" si="8"/>
        <v>21.522286746259446</v>
      </c>
      <c r="W18" s="6">
        <f>$H18*'AR5 Gear Ratios'!$D$5/('AR5 Gear Ratios'!$B$12/24)</f>
        <v>820.79617834394901</v>
      </c>
      <c r="X18" s="16">
        <f>(60*B18/'AR5 Gear Ratios'!$D$6)*(('AR5 Gear Ratios'!$B$12*3.14)/63360)</f>
        <v>43.027467419711293</v>
      </c>
      <c r="Y18" s="6">
        <f t="shared" si="9"/>
        <v>40.387102169749376</v>
      </c>
      <c r="Z18" s="6">
        <f>$H18*'AR5 Gear Ratios'!$D$6/('AR5 Gear Ratios'!$B$12/24)</f>
        <v>599.18121019108276</v>
      </c>
      <c r="AA18" s="16" t="e">
        <f>(60*B18/'AR5 Gear Ratios'!$D$7)*(('AR5 Gear Ratios'!$B$12*3.14)/63360)</f>
        <v>#DIV/0!</v>
      </c>
      <c r="AB18" s="6" t="e">
        <f t="shared" si="10"/>
        <v>#DIV/0!</v>
      </c>
      <c r="AC18" s="6">
        <f>$H18*'AR5 Gear Ratios'!$D$7/('AR5 Gear Ratios'!$B$12/24)</f>
        <v>0</v>
      </c>
    </row>
    <row r="19" spans="1:29" x14ac:dyDescent="0.3">
      <c r="A19" s="2">
        <v>16</v>
      </c>
      <c r="B19" s="2">
        <v>1600</v>
      </c>
      <c r="C19" s="6">
        <f t="shared" si="0"/>
        <v>26.666666666666668</v>
      </c>
      <c r="D19" s="6">
        <f t="shared" si="1"/>
        <v>167.46666666666667</v>
      </c>
      <c r="E19" s="6">
        <f t="shared" si="2"/>
        <v>73.333333333333329</v>
      </c>
      <c r="F19" s="6">
        <f t="shared" si="11"/>
        <v>40333.333333333328</v>
      </c>
      <c r="G19" s="7">
        <f t="shared" si="3"/>
        <v>54684.666666666664</v>
      </c>
      <c r="H19" s="6">
        <f t="shared" si="4"/>
        <v>240.84394904458597</v>
      </c>
      <c r="I19" s="6">
        <f>SQRT((G19*2)/'Acceleration Inputs'!$C$8)</f>
        <v>10.97988233695304</v>
      </c>
      <c r="J19" s="6">
        <f t="shared" si="12"/>
        <v>24.551016905426998</v>
      </c>
      <c r="K19" s="5">
        <f>AVERAGE($J$4:J19)</f>
        <v>17.058812460950904</v>
      </c>
      <c r="L19" s="16">
        <f>(60*B19/'AR5 Gear Ratios'!$D$2)*(('AR5 Gear Ratios'!$B$12*3.14)/63360)</f>
        <v>8.9344145682173846</v>
      </c>
      <c r="M19" s="6">
        <f t="shared" si="5"/>
        <v>1.7413389928430356</v>
      </c>
      <c r="N19" s="6">
        <f>$H19*'AR5 Gear Ratios'!$D$2/('AR5 Gear Ratios'!$B$12/24)</f>
        <v>3077.9856687898086</v>
      </c>
      <c r="O19" s="16">
        <f>(60*B19/'AR5 Gear Ratios'!$D$3)*(('AR5 Gear Ratios'!$B$12*3.14)/63360)</f>
        <v>14.824802933989023</v>
      </c>
      <c r="P19" s="6">
        <f t="shared" si="6"/>
        <v>4.7943416843243769</v>
      </c>
      <c r="Q19" s="6">
        <f>$H19*'AR5 Gear Ratios'!$D$3/('AR5 Gear Ratios'!$B$12/24)</f>
        <v>1854.9993630573244</v>
      </c>
      <c r="R19" s="16">
        <f>(60*B19/'AR5 Gear Ratios'!$D$4)*(('AR5 Gear Ratios'!$B$12*3.14)/63360)</f>
        <v>24.455514329062183</v>
      </c>
      <c r="S19" s="6">
        <f t="shared" si="7"/>
        <v>13.046821667033505</v>
      </c>
      <c r="T19" s="6">
        <f>$H19*'AR5 Gear Ratios'!$D$4/('AR5 Gear Ratios'!$B$12/24)</f>
        <v>1124.4907643312101</v>
      </c>
      <c r="U19" s="16">
        <f>(60*B19/'AR5 Gear Ratios'!$D$5)*(('AR5 Gear Ratios'!$B$12*3.14)/63360)</f>
        <v>33.50405463081519</v>
      </c>
      <c r="V19" s="6">
        <f t="shared" si="8"/>
        <v>24.487579586855187</v>
      </c>
      <c r="W19" s="6">
        <f>$H19*'AR5 Gear Ratios'!$D$5/('AR5 Gear Ratios'!$B$12/24)</f>
        <v>820.7961783439489</v>
      </c>
      <c r="X19" s="16">
        <f>(60*B19/'AR5 Gear Ratios'!$D$6)*(('AR5 Gear Ratios'!$B$12*3.14)/63360)</f>
        <v>45.895965247692047</v>
      </c>
      <c r="Y19" s="6">
        <f t="shared" si="9"/>
        <v>45.951547357581511</v>
      </c>
      <c r="Z19" s="6">
        <f>$H19*'AR5 Gear Ratios'!$D$6/('AR5 Gear Ratios'!$B$12/24)</f>
        <v>599.18121019108276</v>
      </c>
      <c r="AA19" s="16" t="e">
        <f>(60*B19/'AR5 Gear Ratios'!$D$7)*(('AR5 Gear Ratios'!$B$12*3.14)/63360)</f>
        <v>#DIV/0!</v>
      </c>
      <c r="AB19" s="6" t="e">
        <f t="shared" si="10"/>
        <v>#DIV/0!</v>
      </c>
      <c r="AC19" s="6">
        <f>$H19*'AR5 Gear Ratios'!$D$7/('AR5 Gear Ratios'!$B$12/24)</f>
        <v>0</v>
      </c>
    </row>
    <row r="20" spans="1:29" x14ac:dyDescent="0.3">
      <c r="A20" s="2">
        <v>17</v>
      </c>
      <c r="B20" s="2">
        <v>1700</v>
      </c>
      <c r="C20" s="6">
        <f t="shared" si="0"/>
        <v>28.333333333333332</v>
      </c>
      <c r="D20" s="6">
        <f t="shared" si="1"/>
        <v>177.93333333333334</v>
      </c>
      <c r="E20" s="6">
        <f t="shared" si="2"/>
        <v>77.916666666666671</v>
      </c>
      <c r="F20" s="6">
        <f t="shared" si="11"/>
        <v>42854.166666666672</v>
      </c>
      <c r="G20" s="7">
        <f t="shared" si="3"/>
        <v>58102.458333333343</v>
      </c>
      <c r="H20" s="6">
        <f t="shared" si="4"/>
        <v>240.843949044586</v>
      </c>
      <c r="I20" s="6">
        <f>SQRT((G20*2)/'Acceleration Inputs'!$C$8)</f>
        <v>11.317803658027767</v>
      </c>
      <c r="J20" s="6">
        <f t="shared" si="12"/>
        <v>25.306608979350088</v>
      </c>
      <c r="K20" s="5">
        <f>AVERAGE($J$4:J20)</f>
        <v>17.543976962033209</v>
      </c>
      <c r="L20" s="16">
        <f>(60*B20/'AR5 Gear Ratios'!$D$2)*(('AR5 Gear Ratios'!$B$12*3.14)/63360)</f>
        <v>9.4928154787309715</v>
      </c>
      <c r="M20" s="6">
        <f t="shared" si="5"/>
        <v>1.965808472389208</v>
      </c>
      <c r="N20" s="6">
        <f>$H20*'AR5 Gear Ratios'!$D$2/('AR5 Gear Ratios'!$B$12/24)</f>
        <v>3077.9856687898086</v>
      </c>
      <c r="O20" s="16">
        <f>(60*B20/'AR5 Gear Ratios'!$D$3)*(('AR5 Gear Ratios'!$B$12*3.14)/63360)</f>
        <v>15.751353117363339</v>
      </c>
      <c r="P20" s="6">
        <f t="shared" si="6"/>
        <v>5.4123622920693171</v>
      </c>
      <c r="Q20" s="6">
        <f>$H20*'AR5 Gear Ratios'!$D$3/('AR5 Gear Ratios'!$B$12/24)</f>
        <v>1854.9993630573247</v>
      </c>
      <c r="R20" s="16">
        <f>(60*B20/'AR5 Gear Ratios'!$D$4)*(('AR5 Gear Ratios'!$B$12*3.14)/63360)</f>
        <v>25.983983974628572</v>
      </c>
      <c r="S20" s="6">
        <f t="shared" si="7"/>
        <v>14.728638522549545</v>
      </c>
      <c r="T20" s="6">
        <f>$H20*'AR5 Gear Ratios'!$D$4/('AR5 Gear Ratios'!$B$12/24)</f>
        <v>1124.4907643312101</v>
      </c>
      <c r="U20" s="16">
        <f>(60*B20/'AR5 Gear Ratios'!$D$5)*(('AR5 Gear Ratios'!$B$12*3.14)/63360)</f>
        <v>35.598058045241146</v>
      </c>
      <c r="V20" s="6">
        <f t="shared" si="8"/>
        <v>27.644181642973244</v>
      </c>
      <c r="W20" s="6">
        <f>$H20*'AR5 Gear Ratios'!$D$5/('AR5 Gear Ratios'!$B$12/24)</f>
        <v>820.79617834394901</v>
      </c>
      <c r="X20" s="16">
        <f>(60*B20/'AR5 Gear Ratios'!$D$6)*(('AR5 Gear Ratios'!$B$12*3.14)/63360)</f>
        <v>48.764463075672801</v>
      </c>
      <c r="Y20" s="6">
        <f t="shared" si="9"/>
        <v>51.87498900914477</v>
      </c>
      <c r="Z20" s="6">
        <f>$H20*'AR5 Gear Ratios'!$D$6/('AR5 Gear Ratios'!$B$12/24)</f>
        <v>599.18121019108276</v>
      </c>
      <c r="AA20" s="16" t="e">
        <f>(60*B20/'AR5 Gear Ratios'!$D$7)*(('AR5 Gear Ratios'!$B$12*3.14)/63360)</f>
        <v>#DIV/0!</v>
      </c>
      <c r="AB20" s="6" t="e">
        <f t="shared" si="10"/>
        <v>#DIV/0!</v>
      </c>
      <c r="AC20" s="6">
        <f>$H20*'AR5 Gear Ratios'!$D$7/('AR5 Gear Ratios'!$B$12/24)</f>
        <v>0</v>
      </c>
    </row>
    <row r="21" spans="1:29" x14ac:dyDescent="0.3">
      <c r="A21" s="2">
        <v>18</v>
      </c>
      <c r="B21" s="2">
        <v>1800</v>
      </c>
      <c r="C21" s="6">
        <f t="shared" si="0"/>
        <v>30</v>
      </c>
      <c r="D21" s="6">
        <f t="shared" si="1"/>
        <v>188.4</v>
      </c>
      <c r="E21" s="6">
        <f t="shared" si="2"/>
        <v>82.5</v>
      </c>
      <c r="F21" s="6">
        <f t="shared" si="11"/>
        <v>45375</v>
      </c>
      <c r="G21" s="7">
        <f t="shared" si="3"/>
        <v>61520.250000000007</v>
      </c>
      <c r="H21" s="6">
        <f t="shared" si="4"/>
        <v>240.84394904458597</v>
      </c>
      <c r="I21" s="6">
        <f>SQRT((G21*2)/'Acceleration Inputs'!$C$8)</f>
        <v>11.645923885634838</v>
      </c>
      <c r="J21" s="6">
        <f t="shared" si="12"/>
        <v>26.040285808279499</v>
      </c>
      <c r="K21" s="5">
        <f>AVERAGE($J$4:J21)</f>
        <v>18.015994120158002</v>
      </c>
      <c r="L21" s="16">
        <f>(60*B21/'AR5 Gear Ratios'!$D$2)*(('AR5 Gear Ratios'!$B$12*3.14)/63360)</f>
        <v>10.051216389244559</v>
      </c>
      <c r="M21" s="6">
        <f t="shared" si="5"/>
        <v>2.2038821628169671</v>
      </c>
      <c r="N21" s="6">
        <f>$H21*'AR5 Gear Ratios'!$D$2/('AR5 Gear Ratios'!$B$12/24)</f>
        <v>3077.9856687898086</v>
      </c>
      <c r="O21" s="16">
        <f>(60*B21/'AR5 Gear Ratios'!$D$3)*(('AR5 Gear Ratios'!$B$12*3.14)/63360)</f>
        <v>16.67790330073765</v>
      </c>
      <c r="P21" s="6">
        <f t="shared" si="6"/>
        <v>6.0678386942230391</v>
      </c>
      <c r="Q21" s="6">
        <f>$H21*'AR5 Gear Ratios'!$D$3/('AR5 Gear Ratios'!$B$12/24)</f>
        <v>1854.9993630573244</v>
      </c>
      <c r="R21" s="16">
        <f>(60*B21/'AR5 Gear Ratios'!$D$4)*(('AR5 Gear Ratios'!$B$12*3.14)/63360)</f>
        <v>27.512453620194957</v>
      </c>
      <c r="S21" s="6">
        <f t="shared" si="7"/>
        <v>16.512383672339286</v>
      </c>
      <c r="T21" s="6">
        <f>$H21*'AR5 Gear Ratios'!$D$4/('AR5 Gear Ratios'!$B$12/24)</f>
        <v>1124.4907643312101</v>
      </c>
      <c r="U21" s="16">
        <f>(60*B21/'AR5 Gear Ratios'!$D$5)*(('AR5 Gear Ratios'!$B$12*3.14)/63360)</f>
        <v>37.692061459667094</v>
      </c>
      <c r="V21" s="6">
        <f t="shared" si="8"/>
        <v>30.992092914613607</v>
      </c>
      <c r="W21" s="6">
        <f>$H21*'AR5 Gear Ratios'!$D$5/('AR5 Gear Ratios'!$B$12/24)</f>
        <v>820.7961783439489</v>
      </c>
      <c r="X21" s="16">
        <f>(60*B21/'AR5 Gear Ratios'!$D$6)*(('AR5 Gear Ratios'!$B$12*3.14)/63360)</f>
        <v>51.632960903653554</v>
      </c>
      <c r="Y21" s="6">
        <f t="shared" si="9"/>
        <v>58.157427124439117</v>
      </c>
      <c r="Z21" s="6">
        <f>$H21*'AR5 Gear Ratios'!$D$6/('AR5 Gear Ratios'!$B$12/24)</f>
        <v>599.18121019108276</v>
      </c>
      <c r="AA21" s="16" t="e">
        <f>(60*B21/'AR5 Gear Ratios'!$D$7)*(('AR5 Gear Ratios'!$B$12*3.14)/63360)</f>
        <v>#DIV/0!</v>
      </c>
      <c r="AB21" s="6" t="e">
        <f t="shared" si="10"/>
        <v>#DIV/0!</v>
      </c>
      <c r="AC21" s="6">
        <f>$H21*'AR5 Gear Ratios'!$D$7/('AR5 Gear Ratios'!$B$12/24)</f>
        <v>0</v>
      </c>
    </row>
    <row r="22" spans="1:29" x14ac:dyDescent="0.3">
      <c r="A22" s="2">
        <v>19</v>
      </c>
      <c r="B22" s="2">
        <v>1900</v>
      </c>
      <c r="C22" s="6">
        <f t="shared" si="0"/>
        <v>31.666666666666668</v>
      </c>
      <c r="D22" s="6">
        <f t="shared" si="1"/>
        <v>198.86666666666667</v>
      </c>
      <c r="E22" s="6">
        <f t="shared" si="2"/>
        <v>87.083333333333329</v>
      </c>
      <c r="F22" s="6">
        <f t="shared" si="11"/>
        <v>47895.833333333328</v>
      </c>
      <c r="G22" s="7">
        <f t="shared" si="3"/>
        <v>64938.041666666664</v>
      </c>
      <c r="H22" s="6">
        <f t="shared" si="4"/>
        <v>240.84394904458594</v>
      </c>
      <c r="I22" s="6">
        <f>SQRT((G22*2)/'Acceleration Inputs'!$C$8)</f>
        <v>11.965049379686377</v>
      </c>
      <c r="J22" s="6">
        <f t="shared" si="12"/>
        <v>26.753850412978743</v>
      </c>
      <c r="K22" s="5">
        <f>AVERAGE($J$4:J22)</f>
        <v>18.475881293464358</v>
      </c>
      <c r="L22" s="16">
        <f>(60*B22/'AR5 Gear Ratios'!$D$2)*(('AR5 Gear Ratios'!$B$12*3.14)/63360)</f>
        <v>10.609617299758144</v>
      </c>
      <c r="M22" s="6">
        <f t="shared" si="5"/>
        <v>2.4555600641263116</v>
      </c>
      <c r="N22" s="6">
        <f>$H22*'AR5 Gear Ratios'!$D$2/('AR5 Gear Ratios'!$B$12/24)</f>
        <v>3077.9856687898082</v>
      </c>
      <c r="O22" s="16">
        <f>(60*B22/'AR5 Gear Ratios'!$D$3)*(('AR5 Gear Ratios'!$B$12*3.14)/63360)</f>
        <v>17.604453484111968</v>
      </c>
      <c r="P22" s="6">
        <f t="shared" si="6"/>
        <v>6.7607708907855502</v>
      </c>
      <c r="Q22" s="6">
        <f>$H22*'AR5 Gear Ratios'!$D$3/('AR5 Gear Ratios'!$B$12/24)</f>
        <v>1854.9993630573242</v>
      </c>
      <c r="R22" s="16">
        <f>(60*B22/'AR5 Gear Ratios'!$D$4)*(('AR5 Gear Ratios'!$B$12*3.14)/63360)</f>
        <v>29.040923265761343</v>
      </c>
      <c r="S22" s="6">
        <f t="shared" si="7"/>
        <v>18.398057116402718</v>
      </c>
      <c r="T22" s="6">
        <f>$H22*'AR5 Gear Ratios'!$D$4/('AR5 Gear Ratios'!$B$12/24)</f>
        <v>1124.4907643312099</v>
      </c>
      <c r="U22" s="16">
        <f>(60*B22/'AR5 Gear Ratios'!$D$5)*(('AR5 Gear Ratios'!$B$12*3.14)/63360)</f>
        <v>39.786064874093043</v>
      </c>
      <c r="V22" s="6">
        <f t="shared" si="8"/>
        <v>34.531313401776266</v>
      </c>
      <c r="W22" s="6">
        <f>$H22*'AR5 Gear Ratios'!$D$5/('AR5 Gear Ratios'!$B$12/24)</f>
        <v>820.79617834394878</v>
      </c>
      <c r="X22" s="16">
        <f>(60*B22/'AR5 Gear Ratios'!$D$6)*(('AR5 Gear Ratios'!$B$12*3.14)/63360)</f>
        <v>54.501458731634308</v>
      </c>
      <c r="Y22" s="6">
        <f t="shared" si="9"/>
        <v>64.798861703464567</v>
      </c>
      <c r="Z22" s="6">
        <f>$H22*'AR5 Gear Ratios'!$D$6/('AR5 Gear Ratios'!$B$12/24)</f>
        <v>599.18121019108264</v>
      </c>
      <c r="AA22" s="16" t="e">
        <f>(60*B22/'AR5 Gear Ratios'!$D$7)*(('AR5 Gear Ratios'!$B$12*3.14)/63360)</f>
        <v>#DIV/0!</v>
      </c>
      <c r="AB22" s="6" t="e">
        <f t="shared" si="10"/>
        <v>#DIV/0!</v>
      </c>
      <c r="AC22" s="6">
        <f>$H22*'AR5 Gear Ratios'!$D$7/('AR5 Gear Ratios'!$B$12/24)</f>
        <v>0</v>
      </c>
    </row>
    <row r="23" spans="1:29" x14ac:dyDescent="0.3">
      <c r="A23" s="2">
        <v>20</v>
      </c>
      <c r="B23" s="2">
        <v>2000</v>
      </c>
      <c r="C23" s="6">
        <f t="shared" si="0"/>
        <v>33.333333333333336</v>
      </c>
      <c r="D23" s="6">
        <f t="shared" si="1"/>
        <v>209.33333333333334</v>
      </c>
      <c r="E23" s="6">
        <f t="shared" si="2"/>
        <v>91.666666666666657</v>
      </c>
      <c r="F23" s="6">
        <f t="shared" si="11"/>
        <v>50416.666666666664</v>
      </c>
      <c r="G23" s="7">
        <f t="shared" si="3"/>
        <v>68355.833333333328</v>
      </c>
      <c r="H23" s="6">
        <f t="shared" si="4"/>
        <v>240.84394904458597</v>
      </c>
      <c r="I23" s="6">
        <f>SQRT((G23*2)/'Acceleration Inputs'!$C$8)</f>
        <v>12.275881645188123</v>
      </c>
      <c r="J23" s="6">
        <f t="shared" si="12"/>
        <v>27.448871358640645</v>
      </c>
      <c r="K23" s="5">
        <f>AVERAGE($J$4:J23)</f>
        <v>18.924530796723172</v>
      </c>
      <c r="L23" s="16">
        <f>(60*B23/'AR5 Gear Ratios'!$D$2)*(('AR5 Gear Ratios'!$B$12*3.14)/63360)</f>
        <v>11.168018210271731</v>
      </c>
      <c r="M23" s="6">
        <f t="shared" si="5"/>
        <v>2.7208421763172423</v>
      </c>
      <c r="N23" s="6">
        <f>$H23*'AR5 Gear Ratios'!$D$2/('AR5 Gear Ratios'!$B$12/24)</f>
        <v>3077.9856687898086</v>
      </c>
      <c r="O23" s="16">
        <f>(60*B23/'AR5 Gear Ratios'!$D$3)*(('AR5 Gear Ratios'!$B$12*3.14)/63360)</f>
        <v>18.531003667486278</v>
      </c>
      <c r="P23" s="6">
        <f t="shared" si="6"/>
        <v>7.4911588817568386</v>
      </c>
      <c r="Q23" s="6">
        <f>$H23*'AR5 Gear Ratios'!$D$3/('AR5 Gear Ratios'!$B$12/24)</f>
        <v>1854.9993630573244</v>
      </c>
      <c r="R23" s="16">
        <f>(60*B23/'AR5 Gear Ratios'!$D$4)*(('AR5 Gear Ratios'!$B$12*3.14)/63360)</f>
        <v>30.569392911327729</v>
      </c>
      <c r="S23" s="6">
        <f t="shared" si="7"/>
        <v>20.385658854739848</v>
      </c>
      <c r="T23" s="6">
        <f>$H23*'AR5 Gear Ratios'!$D$4/('AR5 Gear Ratios'!$B$12/24)</f>
        <v>1124.4907643312101</v>
      </c>
      <c r="U23" s="16">
        <f>(60*B23/'AR5 Gear Ratios'!$D$5)*(('AR5 Gear Ratios'!$B$12*3.14)/63360)</f>
        <v>41.880068288518999</v>
      </c>
      <c r="V23" s="6">
        <f t="shared" si="8"/>
        <v>38.261843104461242</v>
      </c>
      <c r="W23" s="6">
        <f>$H23*'AR5 Gear Ratios'!$D$5/('AR5 Gear Ratios'!$B$12/24)</f>
        <v>820.7961783439489</v>
      </c>
      <c r="X23" s="16">
        <f>(60*B23/'AR5 Gear Ratios'!$D$6)*(('AR5 Gear Ratios'!$B$12*3.14)/63360)</f>
        <v>57.369956559615055</v>
      </c>
      <c r="Y23" s="6">
        <f t="shared" si="9"/>
        <v>71.799292746221113</v>
      </c>
      <c r="Z23" s="6">
        <f>$H23*'AR5 Gear Ratios'!$D$6/('AR5 Gear Ratios'!$B$12/24)</f>
        <v>599.18121019108276</v>
      </c>
      <c r="AA23" s="16" t="e">
        <f>(60*B23/'AR5 Gear Ratios'!$D$7)*(('AR5 Gear Ratios'!$B$12*3.14)/63360)</f>
        <v>#DIV/0!</v>
      </c>
      <c r="AB23" s="6" t="e">
        <f t="shared" si="10"/>
        <v>#DIV/0!</v>
      </c>
      <c r="AC23" s="6">
        <f>$H23*'AR5 Gear Ratios'!$D$7/('AR5 Gear Ratios'!$B$12/24)</f>
        <v>0</v>
      </c>
    </row>
    <row r="24" spans="1:29" x14ac:dyDescent="0.3">
      <c r="A24" s="2">
        <v>21</v>
      </c>
      <c r="B24" s="2">
        <v>2100</v>
      </c>
      <c r="C24" s="6">
        <f t="shared" si="0"/>
        <v>35</v>
      </c>
      <c r="D24" s="6">
        <f t="shared" si="1"/>
        <v>219.8</v>
      </c>
      <c r="E24" s="6">
        <f t="shared" si="2"/>
        <v>96.25</v>
      </c>
      <c r="F24" s="6">
        <f t="shared" si="11"/>
        <v>52937.5</v>
      </c>
      <c r="G24" s="7">
        <f t="shared" si="3"/>
        <v>71773.625</v>
      </c>
      <c r="H24" s="6">
        <f t="shared" si="4"/>
        <v>240.84394904458597</v>
      </c>
      <c r="I24" s="6">
        <f>SQRT((G24*2)/'Acceleration Inputs'!$C$8)</f>
        <v>12.579035482698982</v>
      </c>
      <c r="J24" s="6">
        <f t="shared" si="12"/>
        <v>28.126723339314928</v>
      </c>
      <c r="K24" s="5">
        <f>AVERAGE($J$4:J24)</f>
        <v>19.362730441608495</v>
      </c>
      <c r="L24" s="16">
        <f>(60*B24/'AR5 Gear Ratios'!$D$2)*(('AR5 Gear Ratios'!$B$12*3.14)/63360)</f>
        <v>11.726419120785318</v>
      </c>
      <c r="M24" s="6">
        <f t="shared" si="5"/>
        <v>2.9997284993897604</v>
      </c>
      <c r="N24" s="6">
        <f>$H24*'AR5 Gear Ratios'!$D$2/('AR5 Gear Ratios'!$B$12/24)</f>
        <v>3077.9856687898086</v>
      </c>
      <c r="O24" s="16">
        <f>(60*B24/'AR5 Gear Ratios'!$D$3)*(('AR5 Gear Ratios'!$B$12*3.14)/63360)</f>
        <v>19.457553850860595</v>
      </c>
      <c r="P24" s="6">
        <f t="shared" si="6"/>
        <v>8.259002667136917</v>
      </c>
      <c r="Q24" s="6">
        <f>$H24*'AR5 Gear Ratios'!$D$3/('AR5 Gear Ratios'!$B$12/24)</f>
        <v>1854.9993630573244</v>
      </c>
      <c r="R24" s="16">
        <f>(60*B24/'AR5 Gear Ratios'!$D$4)*(('AR5 Gear Ratios'!$B$12*3.14)/63360)</f>
        <v>32.097862556894114</v>
      </c>
      <c r="S24" s="6">
        <f t="shared" si="7"/>
        <v>22.47518888735069</v>
      </c>
      <c r="T24" s="6">
        <f>$H24*'AR5 Gear Ratios'!$D$4/('AR5 Gear Ratios'!$B$12/24)</f>
        <v>1124.4907643312101</v>
      </c>
      <c r="U24" s="16">
        <f>(60*B24/'AR5 Gear Ratios'!$D$5)*(('AR5 Gear Ratios'!$B$12*3.14)/63360)</f>
        <v>43.97407170294494</v>
      </c>
      <c r="V24" s="6">
        <f t="shared" si="8"/>
        <v>42.183682022668499</v>
      </c>
      <c r="W24" s="6">
        <f>$H24*'AR5 Gear Ratios'!$D$5/('AR5 Gear Ratios'!$B$12/24)</f>
        <v>820.7961783439489</v>
      </c>
      <c r="X24" s="16">
        <f>(60*B24/'AR5 Gear Ratios'!$D$6)*(('AR5 Gear Ratios'!$B$12*3.14)/63360)</f>
        <v>60.238454387595809</v>
      </c>
      <c r="Y24" s="6">
        <f t="shared" si="9"/>
        <v>79.158720252708775</v>
      </c>
      <c r="Z24" s="6">
        <f>$H24*'AR5 Gear Ratios'!$D$6/('AR5 Gear Ratios'!$B$12/24)</f>
        <v>599.18121019108276</v>
      </c>
      <c r="AA24" s="16" t="e">
        <f>(60*B24/'AR5 Gear Ratios'!$D$7)*(('AR5 Gear Ratios'!$B$12*3.14)/63360)</f>
        <v>#DIV/0!</v>
      </c>
      <c r="AB24" s="6" t="e">
        <f t="shared" si="10"/>
        <v>#DIV/0!</v>
      </c>
      <c r="AC24" s="6">
        <f>$H24*'AR5 Gear Ratios'!$D$7/('AR5 Gear Ratios'!$B$12/24)</f>
        <v>0</v>
      </c>
    </row>
    <row r="25" spans="1:29" x14ac:dyDescent="0.3">
      <c r="A25" s="2">
        <v>22</v>
      </c>
      <c r="B25" s="2">
        <v>2200</v>
      </c>
      <c r="C25" s="6">
        <f t="shared" si="0"/>
        <v>36.666666666666664</v>
      </c>
      <c r="D25" s="6">
        <f t="shared" si="1"/>
        <v>230.26666666666665</v>
      </c>
      <c r="E25" s="6">
        <f t="shared" si="2"/>
        <v>100.83333333333333</v>
      </c>
      <c r="F25" s="6">
        <f t="shared" si="11"/>
        <v>55458.333333333328</v>
      </c>
      <c r="G25" s="7">
        <f t="shared" si="3"/>
        <v>75191.416666666672</v>
      </c>
      <c r="H25" s="6">
        <f t="shared" si="4"/>
        <v>240.84394904458597</v>
      </c>
      <c r="I25" s="6">
        <f>SQRT((G25*2)/'Acceleration Inputs'!$C$8)</f>
        <v>12.875053288562862</v>
      </c>
      <c r="J25" s="6">
        <f t="shared" si="12"/>
        <v>28.788619153226563</v>
      </c>
      <c r="K25" s="5">
        <f>AVERAGE($J$4:J25)</f>
        <v>19.791179928500227</v>
      </c>
      <c r="L25" s="16">
        <f>(60*B25/'AR5 Gear Ratios'!$D$2)*(('AR5 Gear Ratios'!$B$12*3.14)/63360)</f>
        <v>12.284820031298905</v>
      </c>
      <c r="M25" s="6">
        <f t="shared" si="5"/>
        <v>3.2922190333438652</v>
      </c>
      <c r="N25" s="6">
        <f>$H25*'AR5 Gear Ratios'!$D$2/('AR5 Gear Ratios'!$B$12/24)</f>
        <v>3077.9856687898086</v>
      </c>
      <c r="O25" s="16">
        <f>(60*B25/'AR5 Gear Ratios'!$D$3)*(('AR5 Gear Ratios'!$B$12*3.14)/63360)</f>
        <v>20.384104034234909</v>
      </c>
      <c r="P25" s="6">
        <f t="shared" si="6"/>
        <v>9.0643022469257772</v>
      </c>
      <c r="Q25" s="6">
        <f>$H25*'AR5 Gear Ratios'!$D$3/('AR5 Gear Ratios'!$B$12/24)</f>
        <v>1854.9993630573244</v>
      </c>
      <c r="R25" s="16">
        <f>(60*B25/'AR5 Gear Ratios'!$D$4)*(('AR5 Gear Ratios'!$B$12*3.14)/63360)</f>
        <v>33.626332202460503</v>
      </c>
      <c r="S25" s="6">
        <f t="shared" si="7"/>
        <v>24.666647214235223</v>
      </c>
      <c r="T25" s="6">
        <f>$H25*'AR5 Gear Ratios'!$D$4/('AR5 Gear Ratios'!$B$12/24)</f>
        <v>1124.4907643312101</v>
      </c>
      <c r="U25" s="16">
        <f>(60*B25/'AR5 Gear Ratios'!$D$5)*(('AR5 Gear Ratios'!$B$12*3.14)/63360)</f>
        <v>46.068075117370896</v>
      </c>
      <c r="V25" s="6">
        <f t="shared" si="8"/>
        <v>46.296830156398102</v>
      </c>
      <c r="W25" s="6">
        <f>$H25*'AR5 Gear Ratios'!$D$5/('AR5 Gear Ratios'!$B$12/24)</f>
        <v>820.7961783439489</v>
      </c>
      <c r="X25" s="16">
        <f>(60*B25/'AR5 Gear Ratios'!$D$6)*(('AR5 Gear Ratios'!$B$12*3.14)/63360)</f>
        <v>63.10695221557657</v>
      </c>
      <c r="Y25" s="6">
        <f t="shared" si="9"/>
        <v>86.877144222927569</v>
      </c>
      <c r="Z25" s="6">
        <f>$H25*'AR5 Gear Ratios'!$D$6/('AR5 Gear Ratios'!$B$12/24)</f>
        <v>599.18121019108276</v>
      </c>
      <c r="AA25" s="16" t="e">
        <f>(60*B25/'AR5 Gear Ratios'!$D$7)*(('AR5 Gear Ratios'!$B$12*3.14)/63360)</f>
        <v>#DIV/0!</v>
      </c>
      <c r="AB25" s="6" t="e">
        <f t="shared" si="10"/>
        <v>#DIV/0!</v>
      </c>
      <c r="AC25" s="6">
        <f>$H25*'AR5 Gear Ratios'!$D$7/('AR5 Gear Ratios'!$B$12/24)</f>
        <v>0</v>
      </c>
    </row>
    <row r="26" spans="1:29" x14ac:dyDescent="0.3">
      <c r="A26" s="2">
        <v>23</v>
      </c>
      <c r="B26" s="2">
        <v>2300</v>
      </c>
      <c r="C26" s="6">
        <f t="shared" si="0"/>
        <v>38.333333333333336</v>
      </c>
      <c r="D26" s="6">
        <f t="shared" si="1"/>
        <v>240.73333333333335</v>
      </c>
      <c r="E26" s="6">
        <f t="shared" si="2"/>
        <v>105.41666666666667</v>
      </c>
      <c r="F26" s="6">
        <f t="shared" si="11"/>
        <v>57979.166666666672</v>
      </c>
      <c r="G26" s="7">
        <f t="shared" si="3"/>
        <v>78609.208333333343</v>
      </c>
      <c r="H26" s="6">
        <f t="shared" si="4"/>
        <v>240.843949044586</v>
      </c>
      <c r="I26" s="6">
        <f>SQRT((G26*2)/'Acceleration Inputs'!$C$8)</f>
        <v>13.164416458455982</v>
      </c>
      <c r="J26" s="6">
        <f t="shared" si="12"/>
        <v>29.435635201107576</v>
      </c>
      <c r="K26" s="5">
        <f>AVERAGE($J$4:J26)</f>
        <v>20.210504070787501</v>
      </c>
      <c r="L26" s="16">
        <f>(60*B26/'AR5 Gear Ratios'!$D$2)*(('AR5 Gear Ratios'!$B$12*3.14)/63360)</f>
        <v>12.84322094181249</v>
      </c>
      <c r="M26" s="6">
        <f t="shared" si="5"/>
        <v>3.5983137781795542</v>
      </c>
      <c r="N26" s="6">
        <f>$H26*'AR5 Gear Ratios'!$D$2/('AR5 Gear Ratios'!$B$12/24)</f>
        <v>3077.9856687898086</v>
      </c>
      <c r="O26" s="16">
        <f>(60*B26/'AR5 Gear Ratios'!$D$3)*(('AR5 Gear Ratios'!$B$12*3.14)/63360)</f>
        <v>21.310654217609219</v>
      </c>
      <c r="P26" s="6">
        <f t="shared" si="6"/>
        <v>9.9070576211234176</v>
      </c>
      <c r="Q26" s="6">
        <f>$H26*'AR5 Gear Ratios'!$D$3/('AR5 Gear Ratios'!$B$12/24)</f>
        <v>1854.9993630573247</v>
      </c>
      <c r="R26" s="16">
        <f>(60*B26/'AR5 Gear Ratios'!$D$4)*(('AR5 Gear Ratios'!$B$12*3.14)/63360)</f>
        <v>35.154801848026892</v>
      </c>
      <c r="S26" s="6">
        <f t="shared" si="7"/>
        <v>26.96003383539346</v>
      </c>
      <c r="T26" s="6">
        <f>$H26*'AR5 Gear Ratios'!$D$4/('AR5 Gear Ratios'!$B$12/24)</f>
        <v>1124.4907643312101</v>
      </c>
      <c r="U26" s="16">
        <f>(60*B26/'AR5 Gear Ratios'!$D$5)*(('AR5 Gear Ratios'!$B$12*3.14)/63360)</f>
        <v>48.162078531796837</v>
      </c>
      <c r="V26" s="6">
        <f t="shared" si="8"/>
        <v>50.601287505649964</v>
      </c>
      <c r="W26" s="6">
        <f>$H26*'AR5 Gear Ratios'!$D$5/('AR5 Gear Ratios'!$B$12/24)</f>
        <v>820.79617834394901</v>
      </c>
      <c r="X26" s="16">
        <f>(60*B26/'AR5 Gear Ratios'!$D$6)*(('AR5 Gear Ratios'!$B$12*3.14)/63360)</f>
        <v>65.975450043557316</v>
      </c>
      <c r="Y26" s="6">
        <f t="shared" si="9"/>
        <v>94.954564656877423</v>
      </c>
      <c r="Z26" s="6">
        <f>$H26*'AR5 Gear Ratios'!$D$6/('AR5 Gear Ratios'!$B$12/24)</f>
        <v>599.18121019108276</v>
      </c>
      <c r="AA26" s="16" t="e">
        <f>(60*B26/'AR5 Gear Ratios'!$D$7)*(('AR5 Gear Ratios'!$B$12*3.14)/63360)</f>
        <v>#DIV/0!</v>
      </c>
      <c r="AB26" s="6" t="e">
        <f t="shared" si="10"/>
        <v>#DIV/0!</v>
      </c>
      <c r="AC26" s="6">
        <f>$H26*'AR5 Gear Ratios'!$D$7/('AR5 Gear Ratios'!$B$12/24)</f>
        <v>0</v>
      </c>
    </row>
    <row r="27" spans="1:29" x14ac:dyDescent="0.3">
      <c r="A27" s="2">
        <v>24</v>
      </c>
      <c r="B27" s="2">
        <v>2400</v>
      </c>
      <c r="C27" s="6">
        <f t="shared" si="0"/>
        <v>40</v>
      </c>
      <c r="D27" s="6">
        <f t="shared" si="1"/>
        <v>251.20000000000002</v>
      </c>
      <c r="E27" s="6">
        <f t="shared" si="2"/>
        <v>110</v>
      </c>
      <c r="F27" s="6">
        <f t="shared" si="11"/>
        <v>60500</v>
      </c>
      <c r="G27" s="7">
        <f t="shared" si="3"/>
        <v>82027</v>
      </c>
      <c r="H27" s="6">
        <f t="shared" si="4"/>
        <v>240.84394904458597</v>
      </c>
      <c r="I27" s="6">
        <f>SQRT((G27*2)/'Acceleration Inputs'!$C$8)</f>
        <v>13.447554580666331</v>
      </c>
      <c r="J27" s="6">
        <f t="shared" si="12"/>
        <v>30.06873204236992</v>
      </c>
      <c r="K27" s="5">
        <f>AVERAGE($J$4:J27)</f>
        <v>20.621263569603435</v>
      </c>
      <c r="L27" s="16">
        <f>(60*B27/'AR5 Gear Ratios'!$D$2)*(('AR5 Gear Ratios'!$B$12*3.14)/63360)</f>
        <v>13.401621852326077</v>
      </c>
      <c r="M27" s="6">
        <f t="shared" si="5"/>
        <v>3.91801273389683</v>
      </c>
      <c r="N27" s="6">
        <f>$H27*'AR5 Gear Ratios'!$D$2/('AR5 Gear Ratios'!$B$12/24)</f>
        <v>3077.9856687898086</v>
      </c>
      <c r="O27" s="16">
        <f>(60*B27/'AR5 Gear Ratios'!$D$3)*(('AR5 Gear Ratios'!$B$12*3.14)/63360)</f>
        <v>22.237204400983536</v>
      </c>
      <c r="P27" s="6">
        <f t="shared" si="6"/>
        <v>10.78726878972985</v>
      </c>
      <c r="Q27" s="6">
        <f>$H27*'AR5 Gear Ratios'!$D$3/('AR5 Gear Ratios'!$B$12/24)</f>
        <v>1854.9993630573244</v>
      </c>
      <c r="R27" s="16">
        <f>(60*B27/'AR5 Gear Ratios'!$D$4)*(('AR5 Gear Ratios'!$B$12*3.14)/63360)</f>
        <v>36.683271493593274</v>
      </c>
      <c r="S27" s="6">
        <f t="shared" si="7"/>
        <v>29.355348750825389</v>
      </c>
      <c r="T27" s="6">
        <f>$H27*'AR5 Gear Ratios'!$D$4/('AR5 Gear Ratios'!$B$12/24)</f>
        <v>1124.4907643312101</v>
      </c>
      <c r="U27" s="16">
        <f>(60*B27/'AR5 Gear Ratios'!$D$5)*(('AR5 Gear Ratios'!$B$12*3.14)/63360)</f>
        <v>50.256081946222793</v>
      </c>
      <c r="V27" s="6">
        <f t="shared" si="8"/>
        <v>55.097054070424178</v>
      </c>
      <c r="W27" s="6">
        <f>$H27*'AR5 Gear Ratios'!$D$5/('AR5 Gear Ratios'!$B$12/24)</f>
        <v>820.7961783439489</v>
      </c>
      <c r="X27" s="16">
        <f>(60*B27/'AR5 Gear Ratios'!$D$6)*(('AR5 Gear Ratios'!$B$12*3.14)/63360)</f>
        <v>68.843947871538077</v>
      </c>
      <c r="Y27" s="6">
        <f t="shared" si="9"/>
        <v>103.39098155455844</v>
      </c>
      <c r="Z27" s="6">
        <f>$H27*'AR5 Gear Ratios'!$D$6/('AR5 Gear Ratios'!$B$12/24)</f>
        <v>599.18121019108276</v>
      </c>
      <c r="AA27" s="16" t="e">
        <f>(60*B27/'AR5 Gear Ratios'!$D$7)*(('AR5 Gear Ratios'!$B$12*3.14)/63360)</f>
        <v>#DIV/0!</v>
      </c>
      <c r="AB27" s="6" t="e">
        <f t="shared" si="10"/>
        <v>#DIV/0!</v>
      </c>
      <c r="AC27" s="6">
        <f>$H27*'AR5 Gear Ratios'!$D$7/('AR5 Gear Ratios'!$B$12/24)</f>
        <v>0</v>
      </c>
    </row>
    <row r="28" spans="1:29" x14ac:dyDescent="0.3">
      <c r="A28" s="2">
        <v>25</v>
      </c>
      <c r="B28" s="2">
        <v>2500</v>
      </c>
      <c r="C28" s="6">
        <f t="shared" si="0"/>
        <v>41.666666666666664</v>
      </c>
      <c r="D28" s="6">
        <f t="shared" si="1"/>
        <v>261.66666666666669</v>
      </c>
      <c r="E28" s="6">
        <f t="shared" si="2"/>
        <v>114.58333333333334</v>
      </c>
      <c r="F28" s="6">
        <f t="shared" si="11"/>
        <v>63020.833333333336</v>
      </c>
      <c r="G28" s="7">
        <f t="shared" si="3"/>
        <v>85444.791666666686</v>
      </c>
      <c r="H28" s="6">
        <f t="shared" si="4"/>
        <v>240.84394904458597</v>
      </c>
      <c r="I28" s="6">
        <f>SQRT((G28*2)/'Acceleration Inputs'!$C$8)</f>
        <v>13.724852921191301</v>
      </c>
      <c r="J28" s="6">
        <f t="shared" si="12"/>
        <v>30.688771131783753</v>
      </c>
      <c r="K28" s="5">
        <f>AVERAGE($J$4:J28)</f>
        <v>21.023963872090647</v>
      </c>
      <c r="L28" s="16">
        <f>(60*B28/'AR5 Gear Ratios'!$D$2)*(('AR5 Gear Ratios'!$B$12*3.14)/63360)</f>
        <v>13.960022762839664</v>
      </c>
      <c r="M28" s="6">
        <f t="shared" si="5"/>
        <v>4.2513159004956931</v>
      </c>
      <c r="N28" s="6">
        <f>$H28*'AR5 Gear Ratios'!$D$2/('AR5 Gear Ratios'!$B$12/24)</f>
        <v>3077.9856687898086</v>
      </c>
      <c r="O28" s="16">
        <f>(60*B28/'AR5 Gear Ratios'!$D$3)*(('AR5 Gear Ratios'!$B$12*3.14)/63360)</f>
        <v>23.16375458435785</v>
      </c>
      <c r="P28" s="6">
        <f t="shared" si="6"/>
        <v>11.704935752745062</v>
      </c>
      <c r="Q28" s="6">
        <f>$H28*'AR5 Gear Ratios'!$D$3/('AR5 Gear Ratios'!$B$12/24)</f>
        <v>1854.9993630573244</v>
      </c>
      <c r="R28" s="16">
        <f>(60*B28/'AR5 Gear Ratios'!$D$4)*(('AR5 Gear Ratios'!$B$12*3.14)/63360)</f>
        <v>38.211741139159663</v>
      </c>
      <c r="S28" s="6">
        <f t="shared" si="7"/>
        <v>31.852591960531026</v>
      </c>
      <c r="T28" s="6">
        <f>$H28*'AR5 Gear Ratios'!$D$4/('AR5 Gear Ratios'!$B$12/24)</f>
        <v>1124.4907643312101</v>
      </c>
      <c r="U28" s="16">
        <f>(60*B28/'AR5 Gear Ratios'!$D$5)*(('AR5 Gear Ratios'!$B$12*3.14)/63360)</f>
        <v>52.350085360648741</v>
      </c>
      <c r="V28" s="6">
        <f t="shared" si="8"/>
        <v>59.784129850720689</v>
      </c>
      <c r="W28" s="6">
        <f>$H28*'AR5 Gear Ratios'!$D$5/('AR5 Gear Ratios'!$B$12/24)</f>
        <v>820.7961783439489</v>
      </c>
      <c r="X28" s="16">
        <f>(60*B28/'AR5 Gear Ratios'!$D$6)*(('AR5 Gear Ratios'!$B$12*3.14)/63360)</f>
        <v>71.712445699518824</v>
      </c>
      <c r="Y28" s="6">
        <f t="shared" si="9"/>
        <v>112.18639491597051</v>
      </c>
      <c r="Z28" s="6">
        <f>$H28*'AR5 Gear Ratios'!$D$6/('AR5 Gear Ratios'!$B$12/24)</f>
        <v>599.18121019108276</v>
      </c>
      <c r="AA28" s="16" t="e">
        <f>(60*B28/'AR5 Gear Ratios'!$D$7)*(('AR5 Gear Ratios'!$B$12*3.14)/63360)</f>
        <v>#DIV/0!</v>
      </c>
      <c r="AB28" s="6" t="e">
        <f t="shared" si="10"/>
        <v>#DIV/0!</v>
      </c>
      <c r="AC28" s="6">
        <f>$H28*'AR5 Gear Ratios'!$D$7/('AR5 Gear Ratios'!$B$12/24)</f>
        <v>0</v>
      </c>
    </row>
    <row r="29" spans="1:29" x14ac:dyDescent="0.3">
      <c r="A29" s="2">
        <v>26</v>
      </c>
      <c r="B29" s="2">
        <v>2600</v>
      </c>
      <c r="C29" s="6">
        <f t="shared" si="0"/>
        <v>43.333333333333336</v>
      </c>
      <c r="D29" s="6">
        <f t="shared" si="1"/>
        <v>272.13333333333338</v>
      </c>
      <c r="E29" s="6">
        <f t="shared" si="2"/>
        <v>119.16666666666667</v>
      </c>
      <c r="F29" s="6">
        <f t="shared" si="11"/>
        <v>65541.666666666672</v>
      </c>
      <c r="G29" s="7">
        <f t="shared" si="3"/>
        <v>88862.583333333343</v>
      </c>
      <c r="H29" s="6">
        <f t="shared" si="4"/>
        <v>240.84394904458597</v>
      </c>
      <c r="I29" s="6">
        <f>SQRT((G29*2)/'Acceleration Inputs'!$C$8)</f>
        <v>13.996658573269075</v>
      </c>
      <c r="J29" s="6">
        <f t="shared" si="12"/>
        <v>31.296528569829654</v>
      </c>
      <c r="K29" s="5">
        <f>AVERAGE($J$4:J29)</f>
        <v>21.419062514311381</v>
      </c>
      <c r="L29" s="16">
        <f>(60*B29/'AR5 Gear Ratios'!$D$2)*(('AR5 Gear Ratios'!$B$12*3.14)/63360)</f>
        <v>14.518423673353251</v>
      </c>
      <c r="M29" s="6">
        <f t="shared" si="5"/>
        <v>4.5982232779761416</v>
      </c>
      <c r="N29" s="6">
        <f>$H29*'AR5 Gear Ratios'!$D$2/('AR5 Gear Ratios'!$B$12/24)</f>
        <v>3077.9856687898086</v>
      </c>
      <c r="O29" s="16">
        <f>(60*B29/'AR5 Gear Ratios'!$D$3)*(('AR5 Gear Ratios'!$B$12*3.14)/63360)</f>
        <v>24.090304767732164</v>
      </c>
      <c r="P29" s="6">
        <f t="shared" si="6"/>
        <v>12.660058510169062</v>
      </c>
      <c r="Q29" s="6">
        <f>$H29*'AR5 Gear Ratios'!$D$3/('AR5 Gear Ratios'!$B$12/24)</f>
        <v>1854.9993630573244</v>
      </c>
      <c r="R29" s="16">
        <f>(60*B29/'AR5 Gear Ratios'!$D$4)*(('AR5 Gear Ratios'!$B$12*3.14)/63360)</f>
        <v>39.740210784726045</v>
      </c>
      <c r="S29" s="6">
        <f t="shared" si="7"/>
        <v>34.451763464510343</v>
      </c>
      <c r="T29" s="6">
        <f>$H29*'AR5 Gear Ratios'!$D$4/('AR5 Gear Ratios'!$B$12/24)</f>
        <v>1124.4907643312101</v>
      </c>
      <c r="U29" s="16">
        <f>(60*B29/'AR5 Gear Ratios'!$D$5)*(('AR5 Gear Ratios'!$B$12*3.14)/63360)</f>
        <v>54.44408877507469</v>
      </c>
      <c r="V29" s="6">
        <f t="shared" si="8"/>
        <v>64.66251484653948</v>
      </c>
      <c r="W29" s="6">
        <f>$H29*'AR5 Gear Ratios'!$D$5/('AR5 Gear Ratios'!$B$12/24)</f>
        <v>820.7961783439489</v>
      </c>
      <c r="X29" s="16">
        <f>(60*B29/'AR5 Gear Ratios'!$D$6)*(('AR5 Gear Ratios'!$B$12*3.14)/63360)</f>
        <v>74.580943527499571</v>
      </c>
      <c r="Y29" s="6">
        <f t="shared" si="9"/>
        <v>121.34080474111366</v>
      </c>
      <c r="Z29" s="6">
        <f>$H29*'AR5 Gear Ratios'!$D$6/('AR5 Gear Ratios'!$B$12/24)</f>
        <v>599.18121019108276</v>
      </c>
      <c r="AA29" s="16" t="e">
        <f>(60*B29/'AR5 Gear Ratios'!$D$7)*(('AR5 Gear Ratios'!$B$12*3.14)/63360)</f>
        <v>#DIV/0!</v>
      </c>
      <c r="AB29" s="6" t="e">
        <f t="shared" si="10"/>
        <v>#DIV/0!</v>
      </c>
      <c r="AC29" s="6">
        <f>$H29*'AR5 Gear Ratios'!$D$7/('AR5 Gear Ratios'!$B$12/24)</f>
        <v>0</v>
      </c>
    </row>
    <row r="30" spans="1:29" x14ac:dyDescent="0.3">
      <c r="A30" s="2">
        <v>27</v>
      </c>
      <c r="B30" s="2">
        <v>2700</v>
      </c>
      <c r="C30" s="6">
        <f t="shared" si="0"/>
        <v>45</v>
      </c>
      <c r="D30" s="6">
        <f t="shared" si="1"/>
        <v>282.60000000000002</v>
      </c>
      <c r="E30" s="6">
        <f t="shared" si="2"/>
        <v>123.75</v>
      </c>
      <c r="F30" s="6">
        <f t="shared" si="11"/>
        <v>68062.5</v>
      </c>
      <c r="G30" s="7">
        <f t="shared" si="3"/>
        <v>92280.375</v>
      </c>
      <c r="H30" s="6">
        <f t="shared" si="4"/>
        <v>240.84394904458597</v>
      </c>
      <c r="I30" s="6">
        <f>SQRT((G30*2)/'Acceleration Inputs'!$C$8)</f>
        <v>14.263285551548073</v>
      </c>
      <c r="J30" s="6">
        <f t="shared" si="12"/>
        <v>31.892706493261493</v>
      </c>
      <c r="K30" s="5">
        <f>AVERAGE($J$4:J30)</f>
        <v>21.806975254272494</v>
      </c>
      <c r="L30" s="16">
        <f>(60*B30/'AR5 Gear Ratios'!$D$2)*(('AR5 Gear Ratios'!$B$12*3.14)/63360)</f>
        <v>15.076824583866836</v>
      </c>
      <c r="M30" s="6">
        <f t="shared" si="5"/>
        <v>4.9587348663381761</v>
      </c>
      <c r="N30" s="6">
        <f>$H30*'AR5 Gear Ratios'!$D$2/('AR5 Gear Ratios'!$B$12/24)</f>
        <v>3077.9856687898086</v>
      </c>
      <c r="O30" s="16">
        <f>(60*B30/'AR5 Gear Ratios'!$D$3)*(('AR5 Gear Ratios'!$B$12*3.14)/63360)</f>
        <v>25.016854951106478</v>
      </c>
      <c r="P30" s="6">
        <f t="shared" si="6"/>
        <v>13.65263706200184</v>
      </c>
      <c r="Q30" s="6">
        <f>$H30*'AR5 Gear Ratios'!$D$3/('AR5 Gear Ratios'!$B$12/24)</f>
        <v>1854.9993630573244</v>
      </c>
      <c r="R30" s="16">
        <f>(60*B30/'AR5 Gear Ratios'!$D$4)*(('AR5 Gear Ratios'!$B$12*3.14)/63360)</f>
        <v>41.268680430292434</v>
      </c>
      <c r="S30" s="6">
        <f t="shared" si="7"/>
        <v>37.152863262763375</v>
      </c>
      <c r="T30" s="6">
        <f>$H30*'AR5 Gear Ratios'!$D$4/('AR5 Gear Ratios'!$B$12/24)</f>
        <v>1124.4907643312101</v>
      </c>
      <c r="U30" s="16">
        <f>(60*B30/'AR5 Gear Ratios'!$D$5)*(('AR5 Gear Ratios'!$B$12*3.14)/63360)</f>
        <v>56.538092189500645</v>
      </c>
      <c r="V30" s="6">
        <f t="shared" si="8"/>
        <v>69.73220905788061</v>
      </c>
      <c r="W30" s="6">
        <f>$H30*'AR5 Gear Ratios'!$D$5/('AR5 Gear Ratios'!$B$12/24)</f>
        <v>820.7961783439489</v>
      </c>
      <c r="X30" s="16">
        <f>(60*B30/'AR5 Gear Ratios'!$D$6)*(('AR5 Gear Ratios'!$B$12*3.14)/63360)</f>
        <v>77.449441355480332</v>
      </c>
      <c r="Y30" s="6">
        <f t="shared" si="9"/>
        <v>130.85421102998799</v>
      </c>
      <c r="Z30" s="6">
        <f>$H30*'AR5 Gear Ratios'!$D$6/('AR5 Gear Ratios'!$B$12/24)</f>
        <v>599.18121019108276</v>
      </c>
      <c r="AA30" s="16" t="e">
        <f>(60*B30/'AR5 Gear Ratios'!$D$7)*(('AR5 Gear Ratios'!$B$12*3.14)/63360)</f>
        <v>#DIV/0!</v>
      </c>
      <c r="AB30" s="6" t="e">
        <f t="shared" si="10"/>
        <v>#DIV/0!</v>
      </c>
      <c r="AC30" s="6">
        <f>$H30*'AR5 Gear Ratios'!$D$7/('AR5 Gear Ratios'!$B$12/24)</f>
        <v>0</v>
      </c>
    </row>
    <row r="31" spans="1:29" x14ac:dyDescent="0.3">
      <c r="A31" s="2">
        <v>28</v>
      </c>
      <c r="B31" s="2">
        <v>2800</v>
      </c>
      <c r="C31" s="6">
        <f t="shared" si="0"/>
        <v>46.666666666666664</v>
      </c>
      <c r="D31" s="6">
        <f t="shared" si="1"/>
        <v>293.06666666666666</v>
      </c>
      <c r="E31" s="6">
        <f t="shared" si="2"/>
        <v>128.33333333333334</v>
      </c>
      <c r="F31" s="6">
        <f t="shared" si="11"/>
        <v>70583.333333333343</v>
      </c>
      <c r="G31" s="7">
        <f t="shared" si="3"/>
        <v>95698.166666666686</v>
      </c>
      <c r="H31" s="6">
        <f t="shared" si="4"/>
        <v>240.84394904458603</v>
      </c>
      <c r="I31" s="6">
        <f>SQRT((G31*2)/'Acceleration Inputs'!$C$8)</f>
        <v>14.525019044164225</v>
      </c>
      <c r="J31" s="6">
        <f t="shared" si="12"/>
        <v>32.477942582751211</v>
      </c>
      <c r="K31" s="5">
        <f>AVERAGE($J$4:J31)</f>
        <v>22.18808123028959</v>
      </c>
      <c r="L31" s="16">
        <f>(60*B31/'AR5 Gear Ratios'!$D$2)*(('AR5 Gear Ratios'!$B$12*3.14)/63360)</f>
        <v>15.635225494380423</v>
      </c>
      <c r="M31" s="6">
        <f t="shared" si="5"/>
        <v>5.3328506655817947</v>
      </c>
      <c r="N31" s="6">
        <f>$H31*'AR5 Gear Ratios'!$D$2/('AR5 Gear Ratios'!$B$12/24)</f>
        <v>3077.9856687898091</v>
      </c>
      <c r="O31" s="16">
        <f>(60*B31/'AR5 Gear Ratios'!$D$3)*(('AR5 Gear Ratios'!$B$12*3.14)/63360)</f>
        <v>25.943405134480791</v>
      </c>
      <c r="P31" s="6">
        <f t="shared" si="6"/>
        <v>14.682671408243404</v>
      </c>
      <c r="Q31" s="6">
        <f>$H31*'AR5 Gear Ratios'!$D$3/('AR5 Gear Ratios'!$B$12/24)</f>
        <v>1854.9993630573249</v>
      </c>
      <c r="R31" s="16">
        <f>(60*B31/'AR5 Gear Ratios'!$D$4)*(('AR5 Gear Ratios'!$B$12*3.14)/63360)</f>
        <v>42.797150075858823</v>
      </c>
      <c r="S31" s="6">
        <f t="shared" si="7"/>
        <v>39.95589135529012</v>
      </c>
      <c r="T31" s="6">
        <f>$H31*'AR5 Gear Ratios'!$D$4/('AR5 Gear Ratios'!$B$12/24)</f>
        <v>1124.4907643312104</v>
      </c>
      <c r="U31" s="16">
        <f>(60*B31/'AR5 Gear Ratios'!$D$5)*(('AR5 Gear Ratios'!$B$12*3.14)/63360)</f>
        <v>58.632095603926587</v>
      </c>
      <c r="V31" s="6">
        <f t="shared" si="8"/>
        <v>74.993212484744021</v>
      </c>
      <c r="W31" s="6">
        <f>$H31*'AR5 Gear Ratios'!$D$5/('AR5 Gear Ratios'!$B$12/24)</f>
        <v>820.79617834394912</v>
      </c>
      <c r="X31" s="16">
        <f>(60*B31/'AR5 Gear Ratios'!$D$6)*(('AR5 Gear Ratios'!$B$12*3.14)/63360)</f>
        <v>80.317939183461078</v>
      </c>
      <c r="Y31" s="6">
        <f t="shared" si="9"/>
        <v>140.72661378259338</v>
      </c>
      <c r="Z31" s="6">
        <f>$H31*'AR5 Gear Ratios'!$D$6/('AR5 Gear Ratios'!$B$12/24)</f>
        <v>599.18121019108287</v>
      </c>
      <c r="AA31" s="16" t="e">
        <f>(60*B31/'AR5 Gear Ratios'!$D$7)*(('AR5 Gear Ratios'!$B$12*3.14)/63360)</f>
        <v>#DIV/0!</v>
      </c>
      <c r="AB31" s="6" t="e">
        <f t="shared" si="10"/>
        <v>#DIV/0!</v>
      </c>
      <c r="AC31" s="6">
        <f>$H31*'AR5 Gear Ratios'!$D$7/('AR5 Gear Ratios'!$B$12/24)</f>
        <v>0</v>
      </c>
    </row>
    <row r="32" spans="1:29" x14ac:dyDescent="0.3">
      <c r="A32" s="2">
        <v>29</v>
      </c>
      <c r="B32" s="2">
        <v>2900</v>
      </c>
      <c r="C32" s="6">
        <f t="shared" si="0"/>
        <v>48.333333333333336</v>
      </c>
      <c r="D32" s="6">
        <f t="shared" si="1"/>
        <v>303.53333333333336</v>
      </c>
      <c r="E32" s="6">
        <f t="shared" si="2"/>
        <v>132.91666666666666</v>
      </c>
      <c r="F32" s="6">
        <f t="shared" si="11"/>
        <v>73104.166666666657</v>
      </c>
      <c r="G32" s="7">
        <f t="shared" si="3"/>
        <v>99115.958333333328</v>
      </c>
      <c r="H32" s="6">
        <f t="shared" si="4"/>
        <v>240.84394904458594</v>
      </c>
      <c r="I32" s="6">
        <f>SQRT((G32*2)/'Acceleration Inputs'!$C$8)</f>
        <v>14.782118986859315</v>
      </c>
      <c r="J32" s="6">
        <f t="shared" si="12"/>
        <v>33.052818054617433</v>
      </c>
      <c r="K32" s="5">
        <f>AVERAGE($J$4:J32)</f>
        <v>22.562727327680207</v>
      </c>
      <c r="L32" s="16">
        <f>(60*B32/'AR5 Gear Ratios'!$D$2)*(('AR5 Gear Ratios'!$B$12*3.14)/63360)</f>
        <v>16.193626404894012</v>
      </c>
      <c r="M32" s="6">
        <f t="shared" si="5"/>
        <v>5.7205706757070063</v>
      </c>
      <c r="N32" s="6">
        <f>$H32*'AR5 Gear Ratios'!$D$2/('AR5 Gear Ratios'!$B$12/24)</f>
        <v>3077.9856687898082</v>
      </c>
      <c r="O32" s="16">
        <f>(60*B32/'AR5 Gear Ratios'!$D$3)*(('AR5 Gear Ratios'!$B$12*3.14)/63360)</f>
        <v>26.869955317855108</v>
      </c>
      <c r="P32" s="6">
        <f t="shared" si="6"/>
        <v>15.750161548893759</v>
      </c>
      <c r="Q32" s="6">
        <f>$H32*'AR5 Gear Ratios'!$D$3/('AR5 Gear Ratios'!$B$12/24)</f>
        <v>1854.9993630573242</v>
      </c>
      <c r="R32" s="16">
        <f>(60*B32/'AR5 Gear Ratios'!$D$4)*(('AR5 Gear Ratios'!$B$12*3.14)/63360)</f>
        <v>44.325619721425205</v>
      </c>
      <c r="S32" s="6">
        <f t="shared" si="7"/>
        <v>42.860847742090534</v>
      </c>
      <c r="T32" s="6">
        <f>$H32*'AR5 Gear Ratios'!$D$4/('AR5 Gear Ratios'!$B$12/24)</f>
        <v>1124.4907643312099</v>
      </c>
      <c r="U32" s="16">
        <f>(60*B32/'AR5 Gear Ratios'!$D$5)*(('AR5 Gear Ratios'!$B$12*3.14)/63360)</f>
        <v>60.726099018352542</v>
      </c>
      <c r="V32" s="6">
        <f t="shared" si="8"/>
        <v>80.445525127129756</v>
      </c>
      <c r="W32" s="6">
        <f>$H32*'AR5 Gear Ratios'!$D$5/('AR5 Gear Ratios'!$B$12/24)</f>
        <v>820.79617834394878</v>
      </c>
      <c r="X32" s="16">
        <f>(60*B32/'AR5 Gear Ratios'!$D$6)*(('AR5 Gear Ratios'!$B$12*3.14)/63360)</f>
        <v>83.186437011441839</v>
      </c>
      <c r="Y32" s="6">
        <f t="shared" si="9"/>
        <v>150.95801299892992</v>
      </c>
      <c r="Z32" s="6">
        <f>$H32*'AR5 Gear Ratios'!$D$6/('AR5 Gear Ratios'!$B$12/24)</f>
        <v>599.18121019108264</v>
      </c>
      <c r="AA32" s="16" t="e">
        <f>(60*B32/'AR5 Gear Ratios'!$D$7)*(('AR5 Gear Ratios'!$B$12*3.14)/63360)</f>
        <v>#DIV/0!</v>
      </c>
      <c r="AB32" s="6" t="e">
        <f t="shared" si="10"/>
        <v>#DIV/0!</v>
      </c>
      <c r="AC32" s="6">
        <f>$H32*'AR5 Gear Ratios'!$D$7/('AR5 Gear Ratios'!$B$12/24)</f>
        <v>0</v>
      </c>
    </row>
    <row r="33" spans="1:29" x14ac:dyDescent="0.3">
      <c r="A33" s="2">
        <v>30</v>
      </c>
      <c r="B33" s="2">
        <v>3000</v>
      </c>
      <c r="C33" s="6">
        <f t="shared" si="0"/>
        <v>50</v>
      </c>
      <c r="D33" s="6">
        <f t="shared" si="1"/>
        <v>314</v>
      </c>
      <c r="E33" s="6">
        <f t="shared" si="2"/>
        <v>137.5</v>
      </c>
      <c r="F33" s="6">
        <f t="shared" si="11"/>
        <v>75625</v>
      </c>
      <c r="G33" s="7">
        <f t="shared" si="3"/>
        <v>102533.75</v>
      </c>
      <c r="H33" s="6">
        <f t="shared" si="4"/>
        <v>240.843949044586</v>
      </c>
      <c r="I33" s="6">
        <f>SQRT((G33*2)/'Acceleration Inputs'!$C$8)</f>
        <v>15.034823086754297</v>
      </c>
      <c r="J33" s="6">
        <f t="shared" si="12"/>
        <v>33.61786442198261</v>
      </c>
      <c r="K33" s="5">
        <f>AVERAGE($J$4:J33)</f>
        <v>22.931231897490289</v>
      </c>
      <c r="L33" s="16">
        <f>(60*B33/'AR5 Gear Ratios'!$D$2)*(('AR5 Gear Ratios'!$B$12*3.14)/63360)</f>
        <v>16.752027315407595</v>
      </c>
      <c r="M33" s="6">
        <f t="shared" si="5"/>
        <v>6.1218948967137967</v>
      </c>
      <c r="N33" s="6">
        <f>$H33*'AR5 Gear Ratios'!$D$2/('AR5 Gear Ratios'!$B$12/24)</f>
        <v>3077.9856687898086</v>
      </c>
      <c r="O33" s="16">
        <f>(60*B33/'AR5 Gear Ratios'!$D$3)*(('AR5 Gear Ratios'!$B$12*3.14)/63360)</f>
        <v>27.796505501229422</v>
      </c>
      <c r="P33" s="6">
        <f t="shared" si="6"/>
        <v>16.855107483952892</v>
      </c>
      <c r="Q33" s="6">
        <f>$H33*'AR5 Gear Ratios'!$D$3/('AR5 Gear Ratios'!$B$12/24)</f>
        <v>1854.9993630573247</v>
      </c>
      <c r="R33" s="16">
        <f>(60*B33/'AR5 Gear Ratios'!$D$4)*(('AR5 Gear Ratios'!$B$12*3.14)/63360)</f>
        <v>45.854089366991595</v>
      </c>
      <c r="S33" s="6">
        <f t="shared" si="7"/>
        <v>45.867732423164675</v>
      </c>
      <c r="T33" s="6">
        <f>$H33*'AR5 Gear Ratios'!$D$4/('AR5 Gear Ratios'!$B$12/24)</f>
        <v>1124.4907643312101</v>
      </c>
      <c r="U33" s="16">
        <f>(60*B33/'AR5 Gear Ratios'!$D$5)*(('AR5 Gear Ratios'!$B$12*3.14)/63360)</f>
        <v>62.820102432778491</v>
      </c>
      <c r="V33" s="6">
        <f t="shared" si="8"/>
        <v>86.089146985037786</v>
      </c>
      <c r="W33" s="6">
        <f>$H33*'AR5 Gear Ratios'!$D$5/('AR5 Gear Ratios'!$B$12/24)</f>
        <v>820.79617834394901</v>
      </c>
      <c r="X33" s="16">
        <f>(60*B33/'AR5 Gear Ratios'!$D$6)*(('AR5 Gear Ratios'!$B$12*3.14)/63360)</f>
        <v>86.054934839422586</v>
      </c>
      <c r="Y33" s="6">
        <f t="shared" si="9"/>
        <v>161.5484086789975</v>
      </c>
      <c r="Z33" s="6">
        <f>$H33*'AR5 Gear Ratios'!$D$6/('AR5 Gear Ratios'!$B$12/24)</f>
        <v>599.18121019108276</v>
      </c>
      <c r="AA33" s="16" t="e">
        <f>(60*B33/'AR5 Gear Ratios'!$D$7)*(('AR5 Gear Ratios'!$B$12*3.14)/63360)</f>
        <v>#DIV/0!</v>
      </c>
      <c r="AB33" s="6" t="e">
        <f t="shared" si="10"/>
        <v>#DIV/0!</v>
      </c>
      <c r="AC33" s="6">
        <f>$H33*'AR5 Gear Ratios'!$D$7/('AR5 Gear Ratios'!$B$12/24)</f>
        <v>0</v>
      </c>
    </row>
    <row r="34" spans="1:29" x14ac:dyDescent="0.3">
      <c r="A34" s="2">
        <v>31</v>
      </c>
      <c r="B34" s="2">
        <v>3100</v>
      </c>
      <c r="C34" s="6">
        <f t="shared" si="0"/>
        <v>51.666666666666664</v>
      </c>
      <c r="D34" s="6">
        <f t="shared" si="1"/>
        <v>324.46666666666664</v>
      </c>
      <c r="E34" s="6">
        <f t="shared" si="2"/>
        <v>142.08333333333334</v>
      </c>
      <c r="F34" s="6">
        <f t="shared" si="11"/>
        <v>78145.833333333343</v>
      </c>
      <c r="G34" s="7">
        <f t="shared" si="3"/>
        <v>105951.54166666669</v>
      </c>
      <c r="H34" s="6">
        <f t="shared" si="4"/>
        <v>240.84394904458603</v>
      </c>
      <c r="I34" s="6">
        <f>SQRT((G34*2)/'Acceleration Inputs'!$C$8)</f>
        <v>15.28334939593849</v>
      </c>
      <c r="J34" s="6">
        <f t="shared" si="12"/>
        <v>34.173569249318469</v>
      </c>
      <c r="K34" s="5">
        <f>AVERAGE($J$4:J34)</f>
        <v>23.293887941097648</v>
      </c>
      <c r="L34" s="16">
        <f>(60*B34/'AR5 Gear Ratios'!$D$2)*(('AR5 Gear Ratios'!$B$12*3.14)/63360)</f>
        <v>17.310428225921182</v>
      </c>
      <c r="M34" s="6">
        <f t="shared" si="5"/>
        <v>6.5368233286021749</v>
      </c>
      <c r="N34" s="6">
        <f>$H34*'AR5 Gear Ratios'!$D$2/('AR5 Gear Ratios'!$B$12/24)</f>
        <v>3077.9856687898091</v>
      </c>
      <c r="O34" s="16">
        <f>(60*B34/'AR5 Gear Ratios'!$D$3)*(('AR5 Gear Ratios'!$B$12*3.14)/63360)</f>
        <v>28.723055684603736</v>
      </c>
      <c r="P34" s="6">
        <f t="shared" si="6"/>
        <v>17.997509213420813</v>
      </c>
      <c r="Q34" s="6">
        <f>$H34*'AR5 Gear Ratios'!$D$3/('AR5 Gear Ratios'!$B$12/24)</f>
        <v>1854.9993630573249</v>
      </c>
      <c r="R34" s="16">
        <f>(60*B34/'AR5 Gear Ratios'!$D$4)*(('AR5 Gear Ratios'!$B$12*3.14)/63360)</f>
        <v>47.382559012557977</v>
      </c>
      <c r="S34" s="6">
        <f t="shared" si="7"/>
        <v>48.976545398512471</v>
      </c>
      <c r="T34" s="6">
        <f>$H34*'AR5 Gear Ratios'!$D$4/('AR5 Gear Ratios'!$B$12/24)</f>
        <v>1124.4907643312104</v>
      </c>
      <c r="U34" s="16">
        <f>(60*B34/'AR5 Gear Ratios'!$D$5)*(('AR5 Gear Ratios'!$B$12*3.14)/63360)</f>
        <v>64.914105847204439</v>
      </c>
      <c r="V34" s="6">
        <f t="shared" si="8"/>
        <v>91.924078058468126</v>
      </c>
      <c r="W34" s="6">
        <f>$H34*'AR5 Gear Ratios'!$D$5/('AR5 Gear Ratios'!$B$12/24)</f>
        <v>820.79617834394912</v>
      </c>
      <c r="X34" s="16">
        <f>(60*B34/'AR5 Gear Ratios'!$D$6)*(('AR5 Gear Ratios'!$B$12*3.14)/63360)</f>
        <v>88.923432667403347</v>
      </c>
      <c r="Y34" s="6">
        <f t="shared" si="9"/>
        <v>172.49780082279625</v>
      </c>
      <c r="Z34" s="6">
        <f>$H34*'AR5 Gear Ratios'!$D$6/('AR5 Gear Ratios'!$B$12/24)</f>
        <v>599.18121019108287</v>
      </c>
      <c r="AA34" s="16" t="e">
        <f>(60*B34/'AR5 Gear Ratios'!$D$7)*(('AR5 Gear Ratios'!$B$12*3.14)/63360)</f>
        <v>#DIV/0!</v>
      </c>
      <c r="AB34" s="6" t="e">
        <f t="shared" si="10"/>
        <v>#DIV/0!</v>
      </c>
      <c r="AC34" s="6">
        <f>$H34*'AR5 Gear Ratios'!$D$7/('AR5 Gear Ratios'!$B$12/24)</f>
        <v>0</v>
      </c>
    </row>
    <row r="35" spans="1:29" x14ac:dyDescent="0.3">
      <c r="A35" s="2">
        <v>32</v>
      </c>
      <c r="B35" s="2">
        <v>3200</v>
      </c>
      <c r="C35" s="6">
        <f t="shared" si="0"/>
        <v>53.333333333333336</v>
      </c>
      <c r="D35" s="6">
        <f t="shared" si="1"/>
        <v>334.93333333333334</v>
      </c>
      <c r="E35" s="6">
        <f t="shared" si="2"/>
        <v>146.66666666666666</v>
      </c>
      <c r="F35" s="6">
        <f t="shared" si="11"/>
        <v>80666.666666666657</v>
      </c>
      <c r="G35" s="7">
        <f t="shared" si="3"/>
        <v>109369.33333333333</v>
      </c>
      <c r="H35" s="6">
        <f t="shared" si="4"/>
        <v>240.84394904458597</v>
      </c>
      <c r="I35" s="6">
        <f>SQRT((G35*2)/'Acceleration Inputs'!$C$8)</f>
        <v>15.527898514179782</v>
      </c>
      <c r="J35" s="6">
        <f t="shared" si="12"/>
        <v>34.720381077705994</v>
      </c>
      <c r="K35" s="5">
        <f>AVERAGE($J$4:J35)</f>
        <v>23.650965851616657</v>
      </c>
      <c r="L35" s="16">
        <f>(60*B35/'AR5 Gear Ratios'!$D$2)*(('AR5 Gear Ratios'!$B$12*3.14)/63360)</f>
        <v>17.868829136434769</v>
      </c>
      <c r="M35" s="6">
        <f t="shared" si="5"/>
        <v>6.9653559713721425</v>
      </c>
      <c r="N35" s="6">
        <f>$H35*'AR5 Gear Ratios'!$D$2/('AR5 Gear Ratios'!$B$12/24)</f>
        <v>3077.9856687898086</v>
      </c>
      <c r="O35" s="16">
        <f>(60*B35/'AR5 Gear Ratios'!$D$3)*(('AR5 Gear Ratios'!$B$12*3.14)/63360)</f>
        <v>29.649605867978046</v>
      </c>
      <c r="P35" s="6">
        <f t="shared" si="6"/>
        <v>19.177366737297508</v>
      </c>
      <c r="Q35" s="6">
        <f>$H35*'AR5 Gear Ratios'!$D$3/('AR5 Gear Ratios'!$B$12/24)</f>
        <v>1854.9993630573244</v>
      </c>
      <c r="R35" s="16">
        <f>(60*B35/'AR5 Gear Ratios'!$D$4)*(('AR5 Gear Ratios'!$B$12*3.14)/63360)</f>
        <v>48.911028658124366</v>
      </c>
      <c r="S35" s="6">
        <f t="shared" si="7"/>
        <v>52.187286668134021</v>
      </c>
      <c r="T35" s="6">
        <f>$H35*'AR5 Gear Ratios'!$D$4/('AR5 Gear Ratios'!$B$12/24)</f>
        <v>1124.4907643312101</v>
      </c>
      <c r="U35" s="16">
        <f>(60*B35/'AR5 Gear Ratios'!$D$5)*(('AR5 Gear Ratios'!$B$12*3.14)/63360)</f>
        <v>67.008109261630381</v>
      </c>
      <c r="V35" s="6">
        <f t="shared" si="8"/>
        <v>97.950318347420748</v>
      </c>
      <c r="W35" s="6">
        <f>$H35*'AR5 Gear Ratios'!$D$5/('AR5 Gear Ratios'!$B$12/24)</f>
        <v>820.7961783439489</v>
      </c>
      <c r="X35" s="16">
        <f>(60*B35/'AR5 Gear Ratios'!$D$6)*(('AR5 Gear Ratios'!$B$12*3.14)/63360)</f>
        <v>91.791930495384094</v>
      </c>
      <c r="Y35" s="6">
        <f t="shared" si="9"/>
        <v>183.80618943032604</v>
      </c>
      <c r="Z35" s="6">
        <f>$H35*'AR5 Gear Ratios'!$D$6/('AR5 Gear Ratios'!$B$12/24)</f>
        <v>599.18121019108276</v>
      </c>
      <c r="AA35" s="16" t="e">
        <f>(60*B35/'AR5 Gear Ratios'!$D$7)*(('AR5 Gear Ratios'!$B$12*3.14)/63360)</f>
        <v>#DIV/0!</v>
      </c>
      <c r="AB35" s="6" t="e">
        <f t="shared" si="10"/>
        <v>#DIV/0!</v>
      </c>
      <c r="AC35" s="6">
        <f>$H35*'AR5 Gear Ratios'!$D$7/('AR5 Gear Ratios'!$B$12/24)</f>
        <v>0</v>
      </c>
    </row>
    <row r="36" spans="1:29" x14ac:dyDescent="0.3">
      <c r="A36" s="2">
        <v>33</v>
      </c>
      <c r="B36" s="2">
        <v>3300</v>
      </c>
      <c r="C36" s="6">
        <f t="shared" si="0"/>
        <v>55</v>
      </c>
      <c r="D36" s="6">
        <f t="shared" si="1"/>
        <v>345.40000000000003</v>
      </c>
      <c r="E36" s="6">
        <f t="shared" ref="E36:E63" si="13">(B36/$B$63)*$AG$2</f>
        <v>151.25</v>
      </c>
      <c r="F36" s="6">
        <f t="shared" si="11"/>
        <v>83187.5</v>
      </c>
      <c r="G36" s="7">
        <f t="shared" si="3"/>
        <v>112787.125</v>
      </c>
      <c r="H36" s="6">
        <f t="shared" si="4"/>
        <v>240.84394904458597</v>
      </c>
      <c r="I36" s="6">
        <f>SQRT((G36*2)/'Acceleration Inputs'!$C$8)</f>
        <v>15.768655484060778</v>
      </c>
      <c r="J36" s="6">
        <f t="shared" si="12"/>
        <v>35.258713662359902</v>
      </c>
      <c r="K36" s="5">
        <f>AVERAGE($J$4:J36)</f>
        <v>24.002715785275544</v>
      </c>
      <c r="L36" s="16">
        <f>(60*B36/'AR5 Gear Ratios'!$D$2)*(('AR5 Gear Ratios'!$B$12*3.14)/63360)</f>
        <v>18.427230046948356</v>
      </c>
      <c r="M36" s="6">
        <f t="shared" ref="M36:M66" si="14">0.5*0.00238*(L36*1.46)^2*$M$1*$P$1</f>
        <v>7.4074928250236951</v>
      </c>
      <c r="N36" s="6">
        <f>$H36*'AR5 Gear Ratios'!$D$2/('AR5 Gear Ratios'!$B$12/24)</f>
        <v>3077.9856687898086</v>
      </c>
      <c r="O36" s="16">
        <f>(60*B36/'AR5 Gear Ratios'!$D$3)*(('AR5 Gear Ratios'!$B$12*3.14)/63360)</f>
        <v>30.57615605135236</v>
      </c>
      <c r="P36" s="6">
        <f t="shared" ref="P36:P66" si="15">0.5*0.00238*(O36*1.46)^2*$M$1*$P$1</f>
        <v>20.394680055582995</v>
      </c>
      <c r="Q36" s="6">
        <f>$H36*'AR5 Gear Ratios'!$D$3/('AR5 Gear Ratios'!$B$12/24)</f>
        <v>1854.9993630573244</v>
      </c>
      <c r="R36" s="16">
        <f>(60*B36/'AR5 Gear Ratios'!$D$4)*(('AR5 Gear Ratios'!$B$12*3.14)/63360)</f>
        <v>50.439498303690755</v>
      </c>
      <c r="S36" s="6">
        <f t="shared" ref="S36:S66" si="16">0.5*0.00238*(R36*1.46)^2*$M$1*$P$1</f>
        <v>55.499956232029255</v>
      </c>
      <c r="T36" s="6">
        <f>$H36*'AR5 Gear Ratios'!$D$4/('AR5 Gear Ratios'!$B$12/24)</f>
        <v>1124.4907643312101</v>
      </c>
      <c r="U36" s="16">
        <f>(60*B36/'AR5 Gear Ratios'!$D$5)*(('AR5 Gear Ratios'!$B$12*3.14)/63360)</f>
        <v>69.102112676056336</v>
      </c>
      <c r="V36" s="6">
        <f t="shared" ref="V36:V66" si="17">0.5*0.00238*(U36*1.46)^2*$M$1*$P$1</f>
        <v>104.16786785189569</v>
      </c>
      <c r="W36" s="6">
        <f>$H36*'AR5 Gear Ratios'!$D$5/('AR5 Gear Ratios'!$B$12/24)</f>
        <v>820.7961783439489</v>
      </c>
      <c r="X36" s="16">
        <f>(60*B36/'AR5 Gear Ratios'!$D$6)*(('AR5 Gear Ratios'!$B$12*3.14)/63360)</f>
        <v>94.66042832336484</v>
      </c>
      <c r="Y36" s="6">
        <f t="shared" ref="Y36:Y66" si="18">0.5*0.00238*(X36*1.46)^2*$M$1*$P$1</f>
        <v>195.47357450158702</v>
      </c>
      <c r="Z36" s="6">
        <f>$H36*'AR5 Gear Ratios'!$D$6/('AR5 Gear Ratios'!$B$12/24)</f>
        <v>599.18121019108276</v>
      </c>
      <c r="AA36" s="16" t="e">
        <f>(60*B36/'AR5 Gear Ratios'!$D$7)*(('AR5 Gear Ratios'!$B$12*3.14)/63360)</f>
        <v>#DIV/0!</v>
      </c>
      <c r="AB36" s="6" t="e">
        <f t="shared" ref="AB36:AB66" si="19">0.5*0.00238*(AA36*1.46)^2*$M$1*$P$1</f>
        <v>#DIV/0!</v>
      </c>
      <c r="AC36" s="6">
        <f>$H36*'AR5 Gear Ratios'!$D$7/('AR5 Gear Ratios'!$B$12/24)</f>
        <v>0</v>
      </c>
    </row>
    <row r="37" spans="1:29" x14ac:dyDescent="0.3">
      <c r="A37" s="2">
        <v>34</v>
      </c>
      <c r="B37" s="2">
        <v>3400</v>
      </c>
      <c r="C37" s="6">
        <f t="shared" si="0"/>
        <v>56.666666666666664</v>
      </c>
      <c r="D37" s="6">
        <f t="shared" si="1"/>
        <v>355.86666666666667</v>
      </c>
      <c r="E37" s="6">
        <f t="shared" si="13"/>
        <v>155.83333333333334</v>
      </c>
      <c r="F37" s="6">
        <f t="shared" si="11"/>
        <v>85708.333333333343</v>
      </c>
      <c r="G37" s="7">
        <f t="shared" si="3"/>
        <v>116204.91666666669</v>
      </c>
      <c r="H37" s="6">
        <f t="shared" si="4"/>
        <v>240.843949044586</v>
      </c>
      <c r="I37" s="6">
        <f>SQRT((G37*2)/'Acceleration Inputs'!$C$8)</f>
        <v>16.005791429458696</v>
      </c>
      <c r="J37" s="6">
        <f t="shared" si="12"/>
        <v>35.788949636269649</v>
      </c>
      <c r="K37" s="5">
        <f>AVERAGE($J$4:J37)</f>
        <v>24.34936972206949</v>
      </c>
      <c r="L37" s="16">
        <f>(60*B37/'AR5 Gear Ratios'!$D$2)*(('AR5 Gear Ratios'!$B$12*3.14)/63360)</f>
        <v>18.985630957461943</v>
      </c>
      <c r="M37" s="6">
        <f t="shared" si="14"/>
        <v>7.8632338895568319</v>
      </c>
      <c r="N37" s="6">
        <f>$H37*'AR5 Gear Ratios'!$D$2/('AR5 Gear Ratios'!$B$12/24)</f>
        <v>3077.9856687898086</v>
      </c>
      <c r="O37" s="16">
        <f>(60*B37/'AR5 Gear Ratios'!$D$3)*(('AR5 Gear Ratios'!$B$12*3.14)/63360)</f>
        <v>31.502706234726677</v>
      </c>
      <c r="P37" s="6">
        <f t="shared" si="15"/>
        <v>21.649449168277268</v>
      </c>
      <c r="Q37" s="6">
        <f>$H37*'AR5 Gear Ratios'!$D$3/('AR5 Gear Ratios'!$B$12/24)</f>
        <v>1854.9993630573247</v>
      </c>
      <c r="R37" s="16">
        <f>(60*B37/'AR5 Gear Ratios'!$D$4)*(('AR5 Gear Ratios'!$B$12*3.14)/63360)</f>
        <v>51.967967949257144</v>
      </c>
      <c r="S37" s="6">
        <f t="shared" si="16"/>
        <v>58.91455409019818</v>
      </c>
      <c r="T37" s="6">
        <f>$H37*'AR5 Gear Ratios'!$D$4/('AR5 Gear Ratios'!$B$12/24)</f>
        <v>1124.4907643312101</v>
      </c>
      <c r="U37" s="16">
        <f>(60*B37/'AR5 Gear Ratios'!$D$5)*(('AR5 Gear Ratios'!$B$12*3.14)/63360)</f>
        <v>71.196116090482292</v>
      </c>
      <c r="V37" s="6">
        <f t="shared" si="17"/>
        <v>110.57672657189298</v>
      </c>
      <c r="W37" s="6">
        <f>$H37*'AR5 Gear Ratios'!$D$5/('AR5 Gear Ratios'!$B$12/24)</f>
        <v>820.79617834394901</v>
      </c>
      <c r="X37" s="16">
        <f>(60*B37/'AR5 Gear Ratios'!$D$6)*(('AR5 Gear Ratios'!$B$12*3.14)/63360)</f>
        <v>97.528926151345601</v>
      </c>
      <c r="Y37" s="6">
        <f t="shared" si="18"/>
        <v>207.49995603657908</v>
      </c>
      <c r="Z37" s="6">
        <f>$H37*'AR5 Gear Ratios'!$D$6/('AR5 Gear Ratios'!$B$12/24)</f>
        <v>599.18121019108276</v>
      </c>
      <c r="AA37" s="16" t="e">
        <f>(60*B37/'AR5 Gear Ratios'!$D$7)*(('AR5 Gear Ratios'!$B$12*3.14)/63360)</f>
        <v>#DIV/0!</v>
      </c>
      <c r="AB37" s="6" t="e">
        <f t="shared" si="19"/>
        <v>#DIV/0!</v>
      </c>
      <c r="AC37" s="6">
        <f>$H37*'AR5 Gear Ratios'!$D$7/('AR5 Gear Ratios'!$B$12/24)</f>
        <v>0</v>
      </c>
    </row>
    <row r="38" spans="1:29" x14ac:dyDescent="0.3">
      <c r="A38" s="2">
        <v>35</v>
      </c>
      <c r="B38" s="2">
        <v>3500</v>
      </c>
      <c r="C38" s="6">
        <f t="shared" si="0"/>
        <v>58.333333333333336</v>
      </c>
      <c r="D38" s="6">
        <f t="shared" si="1"/>
        <v>366.33333333333337</v>
      </c>
      <c r="E38" s="6">
        <f t="shared" si="13"/>
        <v>160.41666666666669</v>
      </c>
      <c r="F38" s="6">
        <f t="shared" si="11"/>
        <v>88229.166666666672</v>
      </c>
      <c r="G38" s="7">
        <f t="shared" si="3"/>
        <v>119622.70833333336</v>
      </c>
      <c r="H38" s="6">
        <f t="shared" si="4"/>
        <v>240.84394904458597</v>
      </c>
      <c r="I38" s="6">
        <f>SQRT((G38*2)/'Acceleration Inputs'!$C$8)</f>
        <v>16.239464978615114</v>
      </c>
      <c r="J38" s="6">
        <f t="shared" si="12"/>
        <v>36.311443692183396</v>
      </c>
      <c r="K38" s="5">
        <f>AVERAGE($J$4:J38)</f>
        <v>24.691143264072743</v>
      </c>
      <c r="L38" s="16">
        <f>(60*B38/'AR5 Gear Ratios'!$D$2)*(('AR5 Gear Ratios'!$B$12*3.14)/63360)</f>
        <v>19.54403186797553</v>
      </c>
      <c r="M38" s="6">
        <f t="shared" si="14"/>
        <v>8.3325791649715573</v>
      </c>
      <c r="N38" s="6">
        <f>$H38*'AR5 Gear Ratios'!$D$2/('AR5 Gear Ratios'!$B$12/24)</f>
        <v>3077.9856687898086</v>
      </c>
      <c r="O38" s="16">
        <f>(60*B38/'AR5 Gear Ratios'!$D$3)*(('AR5 Gear Ratios'!$B$12*3.14)/63360)</f>
        <v>32.429256418100991</v>
      </c>
      <c r="P38" s="6">
        <f t="shared" si="15"/>
        <v>22.941674075380323</v>
      </c>
      <c r="Q38" s="6">
        <f>$H38*'AR5 Gear Ratios'!$D$3/('AR5 Gear Ratios'!$B$12/24)</f>
        <v>1854.9993630573244</v>
      </c>
      <c r="R38" s="16">
        <f>(60*B38/'AR5 Gear Ratios'!$D$4)*(('AR5 Gear Ratios'!$B$12*3.14)/63360)</f>
        <v>53.496437594823526</v>
      </c>
      <c r="S38" s="6">
        <f t="shared" si="16"/>
        <v>62.431080242640803</v>
      </c>
      <c r="T38" s="6">
        <f>$H38*'AR5 Gear Ratios'!$D$4/('AR5 Gear Ratios'!$B$12/24)</f>
        <v>1124.4907643312101</v>
      </c>
      <c r="U38" s="16">
        <f>(60*B38/'AR5 Gear Ratios'!$D$5)*(('AR5 Gear Ratios'!$B$12*3.14)/63360)</f>
        <v>73.290119504908233</v>
      </c>
      <c r="V38" s="6">
        <f t="shared" si="17"/>
        <v>117.17689450741251</v>
      </c>
      <c r="W38" s="6">
        <f>$H38*'AR5 Gear Ratios'!$D$5/('AR5 Gear Ratios'!$B$12/24)</f>
        <v>820.7961783439489</v>
      </c>
      <c r="X38" s="16">
        <f>(60*B38/'AR5 Gear Ratios'!$D$6)*(('AR5 Gear Ratios'!$B$12*3.14)/63360)</f>
        <v>100.39742397932636</v>
      </c>
      <c r="Y38" s="6">
        <f t="shared" si="18"/>
        <v>219.88533403530229</v>
      </c>
      <c r="Z38" s="6">
        <f>$H38*'AR5 Gear Ratios'!$D$6/('AR5 Gear Ratios'!$B$12/24)</f>
        <v>599.18121019108276</v>
      </c>
      <c r="AA38" s="16" t="e">
        <f>(60*B38/'AR5 Gear Ratios'!$D$7)*(('AR5 Gear Ratios'!$B$12*3.14)/63360)</f>
        <v>#DIV/0!</v>
      </c>
      <c r="AB38" s="6" t="e">
        <f t="shared" si="19"/>
        <v>#DIV/0!</v>
      </c>
      <c r="AC38" s="6">
        <f>$H38*'AR5 Gear Ratios'!$D$7/('AR5 Gear Ratios'!$B$12/24)</f>
        <v>0</v>
      </c>
    </row>
    <row r="39" spans="1:29" x14ac:dyDescent="0.3">
      <c r="A39" s="2">
        <v>36</v>
      </c>
      <c r="B39" s="2">
        <v>3600</v>
      </c>
      <c r="C39" s="6">
        <f t="shared" si="0"/>
        <v>60</v>
      </c>
      <c r="D39" s="6">
        <f t="shared" si="1"/>
        <v>376.8</v>
      </c>
      <c r="E39" s="6">
        <f t="shared" si="13"/>
        <v>165</v>
      </c>
      <c r="F39" s="6">
        <f t="shared" si="11"/>
        <v>90750</v>
      </c>
      <c r="G39" s="7">
        <f t="shared" si="3"/>
        <v>123040.50000000001</v>
      </c>
      <c r="H39" s="6">
        <f t="shared" si="4"/>
        <v>240.84394904458597</v>
      </c>
      <c r="I39" s="6">
        <f>SQRT((G39*2)/'Acceleration Inputs'!$C$8)</f>
        <v>16.469823505429559</v>
      </c>
      <c r="J39" s="6">
        <f t="shared" si="12"/>
        <v>36.826525358140501</v>
      </c>
      <c r="K39" s="5">
        <f>AVERAGE($J$4:J39)</f>
        <v>25.028237211130183</v>
      </c>
      <c r="L39" s="16">
        <f>(60*B39/'AR5 Gear Ratios'!$D$2)*(('AR5 Gear Ratios'!$B$12*3.14)/63360)</f>
        <v>20.102432778489117</v>
      </c>
      <c r="M39" s="6">
        <f t="shared" si="14"/>
        <v>8.8155286512678686</v>
      </c>
      <c r="N39" s="6">
        <f>$H39*'AR5 Gear Ratios'!$D$2/('AR5 Gear Ratios'!$B$12/24)</f>
        <v>3077.9856687898086</v>
      </c>
      <c r="O39" s="16">
        <f>(60*B39/'AR5 Gear Ratios'!$D$3)*(('AR5 Gear Ratios'!$B$12*3.14)/63360)</f>
        <v>33.355806601475301</v>
      </c>
      <c r="P39" s="6">
        <f t="shared" si="15"/>
        <v>24.271354776892156</v>
      </c>
      <c r="Q39" s="6">
        <f>$H39*'AR5 Gear Ratios'!$D$3/('AR5 Gear Ratios'!$B$12/24)</f>
        <v>1854.9993630573244</v>
      </c>
      <c r="R39" s="16">
        <f>(60*B39/'AR5 Gear Ratios'!$D$4)*(('AR5 Gear Ratios'!$B$12*3.14)/63360)</f>
        <v>55.024907240389915</v>
      </c>
      <c r="S39" s="6">
        <f t="shared" si="16"/>
        <v>66.049534689357145</v>
      </c>
      <c r="T39" s="6">
        <f>$H39*'AR5 Gear Ratios'!$D$4/('AR5 Gear Ratios'!$B$12/24)</f>
        <v>1124.4907643312101</v>
      </c>
      <c r="U39" s="16">
        <f>(60*B39/'AR5 Gear Ratios'!$D$5)*(('AR5 Gear Ratios'!$B$12*3.14)/63360)</f>
        <v>75.384122919334189</v>
      </c>
      <c r="V39" s="6">
        <f t="shared" si="17"/>
        <v>123.96837165845443</v>
      </c>
      <c r="W39" s="6">
        <f>$H39*'AR5 Gear Ratios'!$D$5/('AR5 Gear Ratios'!$B$12/24)</f>
        <v>820.7961783439489</v>
      </c>
      <c r="X39" s="16">
        <f>(60*B39/'AR5 Gear Ratios'!$D$6)*(('AR5 Gear Ratios'!$B$12*3.14)/63360)</f>
        <v>103.26592180730711</v>
      </c>
      <c r="Y39" s="6">
        <f t="shared" si="18"/>
        <v>232.62970849775647</v>
      </c>
      <c r="Z39" s="6">
        <f>$H39*'AR5 Gear Ratios'!$D$6/('AR5 Gear Ratios'!$B$12/24)</f>
        <v>599.18121019108276</v>
      </c>
      <c r="AA39" s="16" t="e">
        <f>(60*B39/'AR5 Gear Ratios'!$D$7)*(('AR5 Gear Ratios'!$B$12*3.14)/63360)</f>
        <v>#DIV/0!</v>
      </c>
      <c r="AB39" s="6" t="e">
        <f t="shared" si="19"/>
        <v>#DIV/0!</v>
      </c>
      <c r="AC39" s="6">
        <f>$H39*'AR5 Gear Ratios'!$D$7/('AR5 Gear Ratios'!$B$12/24)</f>
        <v>0</v>
      </c>
    </row>
    <row r="40" spans="1:29" x14ac:dyDescent="0.3">
      <c r="A40" s="2">
        <v>37</v>
      </c>
      <c r="B40" s="2">
        <v>3700</v>
      </c>
      <c r="C40" s="6">
        <f t="shared" si="0"/>
        <v>61.666666666666664</v>
      </c>
      <c r="D40" s="6">
        <f t="shared" si="1"/>
        <v>387.26666666666665</v>
      </c>
      <c r="E40" s="6">
        <f t="shared" si="13"/>
        <v>169.58333333333334</v>
      </c>
      <c r="F40" s="6">
        <f t="shared" si="11"/>
        <v>93270.833333333343</v>
      </c>
      <c r="G40" s="7">
        <f t="shared" si="3"/>
        <v>126458.29166666669</v>
      </c>
      <c r="H40" s="6">
        <f t="shared" si="4"/>
        <v>240.84394904458603</v>
      </c>
      <c r="I40" s="6">
        <f>SQRT((G40*2)/'Acceleration Inputs'!$C$8)</f>
        <v>16.697004216575301</v>
      </c>
      <c r="J40" s="6">
        <f t="shared" si="12"/>
        <v>37.334501428262378</v>
      </c>
      <c r="K40" s="5">
        <f>AVERAGE($J$4:J40)</f>
        <v>25.360838946728347</v>
      </c>
      <c r="L40" s="16">
        <f>(60*B40/'AR5 Gear Ratios'!$D$2)*(('AR5 Gear Ratios'!$B$12*3.14)/63360)</f>
        <v>20.6608336890027</v>
      </c>
      <c r="M40" s="6">
        <f t="shared" si="14"/>
        <v>9.3120823484457631</v>
      </c>
      <c r="N40" s="6">
        <f>$H40*'AR5 Gear Ratios'!$D$2/('AR5 Gear Ratios'!$B$12/24)</f>
        <v>3077.9856687898091</v>
      </c>
      <c r="O40" s="16">
        <f>(60*B40/'AR5 Gear Ratios'!$D$3)*(('AR5 Gear Ratios'!$B$12*3.14)/63360)</f>
        <v>34.282356784849618</v>
      </c>
      <c r="P40" s="6">
        <f t="shared" si="15"/>
        <v>25.638491272812782</v>
      </c>
      <c r="Q40" s="6">
        <f>$H40*'AR5 Gear Ratios'!$D$3/('AR5 Gear Ratios'!$B$12/24)</f>
        <v>1854.9993630573249</v>
      </c>
      <c r="R40" s="16">
        <f>(60*B40/'AR5 Gear Ratios'!$D$4)*(('AR5 Gear Ratios'!$B$12*3.14)/63360)</f>
        <v>56.553376885956297</v>
      </c>
      <c r="S40" s="6">
        <f t="shared" si="16"/>
        <v>69.769917430347135</v>
      </c>
      <c r="T40" s="6">
        <f>$H40*'AR5 Gear Ratios'!$D$4/('AR5 Gear Ratios'!$B$12/24)</f>
        <v>1124.4907643312104</v>
      </c>
      <c r="U40" s="16">
        <f>(60*B40/'AR5 Gear Ratios'!$D$5)*(('AR5 Gear Ratios'!$B$12*3.14)/63360)</f>
        <v>77.47812633376013</v>
      </c>
      <c r="V40" s="6">
        <f t="shared" si="17"/>
        <v>130.95115802501854</v>
      </c>
      <c r="W40" s="6">
        <f>$H40*'AR5 Gear Ratios'!$D$5/('AR5 Gear Ratios'!$B$12/24)</f>
        <v>820.79617834394912</v>
      </c>
      <c r="X40" s="16">
        <f>(60*B40/'AR5 Gear Ratios'!$D$6)*(('AR5 Gear Ratios'!$B$12*3.14)/63360)</f>
        <v>106.13441963528786</v>
      </c>
      <c r="Y40" s="6">
        <f t="shared" si="18"/>
        <v>245.73307942394177</v>
      </c>
      <c r="Z40" s="6">
        <f>$H40*'AR5 Gear Ratios'!$D$6/('AR5 Gear Ratios'!$B$12/24)</f>
        <v>599.18121019108287</v>
      </c>
      <c r="AA40" s="16" t="e">
        <f>(60*B40/'AR5 Gear Ratios'!$D$7)*(('AR5 Gear Ratios'!$B$12*3.14)/63360)</f>
        <v>#DIV/0!</v>
      </c>
      <c r="AB40" s="6" t="e">
        <f t="shared" si="19"/>
        <v>#DIV/0!</v>
      </c>
      <c r="AC40" s="6">
        <f>$H40*'AR5 Gear Ratios'!$D$7/('AR5 Gear Ratios'!$B$12/24)</f>
        <v>0</v>
      </c>
    </row>
    <row r="41" spans="1:29" x14ac:dyDescent="0.3">
      <c r="A41" s="2">
        <v>38</v>
      </c>
      <c r="B41" s="2">
        <v>3800</v>
      </c>
      <c r="C41" s="6">
        <f t="shared" si="0"/>
        <v>63.333333333333336</v>
      </c>
      <c r="D41" s="6">
        <f t="shared" si="1"/>
        <v>397.73333333333335</v>
      </c>
      <c r="E41" s="6">
        <f t="shared" si="13"/>
        <v>174.16666666666666</v>
      </c>
      <c r="F41" s="6">
        <f t="shared" si="11"/>
        <v>95791.666666666657</v>
      </c>
      <c r="G41" s="7">
        <f t="shared" si="3"/>
        <v>129876.08333333333</v>
      </c>
      <c r="H41" s="6">
        <f t="shared" si="4"/>
        <v>240.84394904458594</v>
      </c>
      <c r="I41" s="6">
        <f>SQRT((G41*2)/'Acceleration Inputs'!$C$8)</f>
        <v>16.921135107216262</v>
      </c>
      <c r="J41" s="6">
        <f t="shared" si="12"/>
        <v>37.835658099735568</v>
      </c>
      <c r="K41" s="5">
        <f>AVERAGE($J$4:J41)</f>
        <v>25.689123661281172</v>
      </c>
      <c r="L41" s="16">
        <f>(60*B41/'AR5 Gear Ratios'!$D$2)*(('AR5 Gear Ratios'!$B$12*3.14)/63360)</f>
        <v>21.219234599516287</v>
      </c>
      <c r="M41" s="6">
        <f t="shared" si="14"/>
        <v>9.8222402565052462</v>
      </c>
      <c r="N41" s="6">
        <f>$H41*'AR5 Gear Ratios'!$D$2/('AR5 Gear Ratios'!$B$12/24)</f>
        <v>3077.9856687898082</v>
      </c>
      <c r="O41" s="16">
        <f>(60*B41/'AR5 Gear Ratios'!$D$3)*(('AR5 Gear Ratios'!$B$12*3.14)/63360)</f>
        <v>35.208906968223936</v>
      </c>
      <c r="P41" s="6">
        <f t="shared" si="15"/>
        <v>27.043083563142201</v>
      </c>
      <c r="Q41" s="6">
        <f>$H41*'AR5 Gear Ratios'!$D$3/('AR5 Gear Ratios'!$B$12/24)</f>
        <v>1854.9993630573242</v>
      </c>
      <c r="R41" s="16">
        <f>(60*B41/'AR5 Gear Ratios'!$D$4)*(('AR5 Gear Ratios'!$B$12*3.14)/63360)</f>
        <v>58.081846531522686</v>
      </c>
      <c r="S41" s="6">
        <f t="shared" si="16"/>
        <v>73.592228465610873</v>
      </c>
      <c r="T41" s="6">
        <f>$H41*'AR5 Gear Ratios'!$D$4/('AR5 Gear Ratios'!$B$12/24)</f>
        <v>1124.4907643312099</v>
      </c>
      <c r="U41" s="16">
        <f>(60*B41/'AR5 Gear Ratios'!$D$5)*(('AR5 Gear Ratios'!$B$12*3.14)/63360)</f>
        <v>79.572129748186086</v>
      </c>
      <c r="V41" s="6">
        <f t="shared" si="17"/>
        <v>138.12525360710507</v>
      </c>
      <c r="W41" s="6">
        <f>$H41*'AR5 Gear Ratios'!$D$5/('AR5 Gear Ratios'!$B$12/24)</f>
        <v>820.79617834394878</v>
      </c>
      <c r="X41" s="16">
        <f>(60*B41/'AR5 Gear Ratios'!$D$6)*(('AR5 Gear Ratios'!$B$12*3.14)/63360)</f>
        <v>109.00291746326862</v>
      </c>
      <c r="Y41" s="6">
        <f t="shared" si="18"/>
        <v>259.19544681385827</v>
      </c>
      <c r="Z41" s="6">
        <f>$H41*'AR5 Gear Ratios'!$D$6/('AR5 Gear Ratios'!$B$12/24)</f>
        <v>599.18121019108264</v>
      </c>
      <c r="AA41" s="16" t="e">
        <f>(60*B41/'AR5 Gear Ratios'!$D$7)*(('AR5 Gear Ratios'!$B$12*3.14)/63360)</f>
        <v>#DIV/0!</v>
      </c>
      <c r="AB41" s="6" t="e">
        <f t="shared" si="19"/>
        <v>#DIV/0!</v>
      </c>
      <c r="AC41" s="6">
        <f>$H41*'AR5 Gear Ratios'!$D$7/('AR5 Gear Ratios'!$B$12/24)</f>
        <v>0</v>
      </c>
    </row>
    <row r="42" spans="1:29" x14ac:dyDescent="0.3">
      <c r="A42" s="2">
        <v>39</v>
      </c>
      <c r="B42" s="2">
        <v>3900</v>
      </c>
      <c r="C42" s="6">
        <f t="shared" si="0"/>
        <v>65</v>
      </c>
      <c r="D42" s="6">
        <f t="shared" si="1"/>
        <v>408.2</v>
      </c>
      <c r="E42" s="6">
        <f t="shared" si="13"/>
        <v>178.75</v>
      </c>
      <c r="F42" s="6">
        <f t="shared" si="11"/>
        <v>98312.5</v>
      </c>
      <c r="G42" s="7">
        <f t="shared" si="3"/>
        <v>133293.875</v>
      </c>
      <c r="H42" s="6">
        <f t="shared" si="4"/>
        <v>240.843949044586</v>
      </c>
      <c r="I42" s="6">
        <f>SQRT((G42*2)/'Acceleration Inputs'!$C$8)</f>
        <v>17.142335804230413</v>
      </c>
      <c r="J42" s="6">
        <f t="shared" si="12"/>
        <v>38.330262858259211</v>
      </c>
      <c r="K42" s="5">
        <f>AVERAGE($J$4:J42)</f>
        <v>26.013255435562659</v>
      </c>
      <c r="L42" s="16">
        <f>(60*B42/'AR5 Gear Ratios'!$D$2)*(('AR5 Gear Ratios'!$B$12*3.14)/63360)</f>
        <v>21.777635510029878</v>
      </c>
      <c r="M42" s="6">
        <f t="shared" si="14"/>
        <v>10.34600237544632</v>
      </c>
      <c r="N42" s="6">
        <f>$H42*'AR5 Gear Ratios'!$D$2/('AR5 Gear Ratios'!$B$12/24)</f>
        <v>3077.9856687898086</v>
      </c>
      <c r="O42" s="16">
        <f>(60*B42/'AR5 Gear Ratios'!$D$3)*(('AR5 Gear Ratios'!$B$12*3.14)/63360)</f>
        <v>36.135457151598246</v>
      </c>
      <c r="P42" s="6">
        <f t="shared" si="15"/>
        <v>28.485131647880383</v>
      </c>
      <c r="Q42" s="6">
        <f>$H42*'AR5 Gear Ratios'!$D$3/('AR5 Gear Ratios'!$B$12/24)</f>
        <v>1854.9993630573247</v>
      </c>
      <c r="R42" s="16">
        <f>(60*B42/'AR5 Gear Ratios'!$D$4)*(('AR5 Gear Ratios'!$B$12*3.14)/63360)</f>
        <v>59.610316177089068</v>
      </c>
      <c r="S42" s="6">
        <f t="shared" si="16"/>
        <v>77.516467795148287</v>
      </c>
      <c r="T42" s="6">
        <f>$H42*'AR5 Gear Ratios'!$D$4/('AR5 Gear Ratios'!$B$12/24)</f>
        <v>1124.4907643312101</v>
      </c>
      <c r="U42" s="16">
        <f>(60*B42/'AR5 Gear Ratios'!$D$5)*(('AR5 Gear Ratios'!$B$12*3.14)/63360)</f>
        <v>81.666133162612027</v>
      </c>
      <c r="V42" s="6">
        <f t="shared" si="17"/>
        <v>145.4906584047138</v>
      </c>
      <c r="W42" s="6">
        <f>$H42*'AR5 Gear Ratios'!$D$5/('AR5 Gear Ratios'!$B$12/24)</f>
        <v>820.79617834394901</v>
      </c>
      <c r="X42" s="16">
        <f>(60*B42/'AR5 Gear Ratios'!$D$6)*(('AR5 Gear Ratios'!$B$12*3.14)/63360)</f>
        <v>111.87141529124936</v>
      </c>
      <c r="Y42" s="6">
        <f t="shared" si="18"/>
        <v>273.01681066750575</v>
      </c>
      <c r="Z42" s="6">
        <f>$H42*'AR5 Gear Ratios'!$D$6/('AR5 Gear Ratios'!$B$12/24)</f>
        <v>599.18121019108276</v>
      </c>
      <c r="AA42" s="16" t="e">
        <f>(60*B42/'AR5 Gear Ratios'!$D$7)*(('AR5 Gear Ratios'!$B$12*3.14)/63360)</f>
        <v>#DIV/0!</v>
      </c>
      <c r="AB42" s="6" t="e">
        <f t="shared" si="19"/>
        <v>#DIV/0!</v>
      </c>
      <c r="AC42" s="6">
        <f>$H42*'AR5 Gear Ratios'!$D$7/('AR5 Gear Ratios'!$B$12/24)</f>
        <v>0</v>
      </c>
    </row>
    <row r="43" spans="1:29" x14ac:dyDescent="0.3">
      <c r="A43" s="2">
        <v>40</v>
      </c>
      <c r="B43" s="2">
        <v>4000</v>
      </c>
      <c r="C43" s="6">
        <f t="shared" si="0"/>
        <v>66.666666666666671</v>
      </c>
      <c r="D43" s="6">
        <f t="shared" si="1"/>
        <v>418.66666666666669</v>
      </c>
      <c r="E43" s="6">
        <f t="shared" si="13"/>
        <v>183.33333333333331</v>
      </c>
      <c r="F43" s="6">
        <f t="shared" si="11"/>
        <v>100833.33333333333</v>
      </c>
      <c r="G43" s="7">
        <f t="shared" si="3"/>
        <v>136711.66666666666</v>
      </c>
      <c r="H43" s="6">
        <f t="shared" si="4"/>
        <v>240.84394904458597</v>
      </c>
      <c r="I43" s="6">
        <f>SQRT((G43*2)/'Acceleration Inputs'!$C$8)</f>
        <v>17.360718312711988</v>
      </c>
      <c r="J43" s="6">
        <f t="shared" si="12"/>
        <v>38.818566147224011</v>
      </c>
      <c r="K43" s="5">
        <f>AVERAGE($J$4:J43)</f>
        <v>26.33338820335419</v>
      </c>
      <c r="L43" s="16">
        <f>(60*B43/'AR5 Gear Ratios'!$D$2)*(('AR5 Gear Ratios'!$B$12*3.14)/63360)</f>
        <v>22.336036420543461</v>
      </c>
      <c r="M43" s="6">
        <f t="shared" si="14"/>
        <v>10.883368705268969</v>
      </c>
      <c r="N43" s="6">
        <f>$H43*'AR5 Gear Ratios'!$D$2/('AR5 Gear Ratios'!$B$12/24)</f>
        <v>3077.9856687898086</v>
      </c>
      <c r="O43" s="16">
        <f>(60*B43/'AR5 Gear Ratios'!$D$3)*(('AR5 Gear Ratios'!$B$12*3.14)/63360)</f>
        <v>37.062007334972556</v>
      </c>
      <c r="P43" s="6">
        <f t="shared" si="15"/>
        <v>29.964635527027355</v>
      </c>
      <c r="Q43" s="6">
        <f>$H43*'AR5 Gear Ratios'!$D$3/('AR5 Gear Ratios'!$B$12/24)</f>
        <v>1854.9993630573244</v>
      </c>
      <c r="R43" s="16">
        <f>(60*B43/'AR5 Gear Ratios'!$D$4)*(('AR5 Gear Ratios'!$B$12*3.14)/63360)</f>
        <v>61.138785822655457</v>
      </c>
      <c r="S43" s="6">
        <f t="shared" si="16"/>
        <v>81.542635418959392</v>
      </c>
      <c r="T43" s="6">
        <f>$H43*'AR5 Gear Ratios'!$D$4/('AR5 Gear Ratios'!$B$12/24)</f>
        <v>1124.4907643312101</v>
      </c>
      <c r="U43" s="16">
        <f>(60*B43/'AR5 Gear Ratios'!$D$5)*(('AR5 Gear Ratios'!$B$12*3.14)/63360)</f>
        <v>83.760136577037997</v>
      </c>
      <c r="V43" s="6">
        <f t="shared" si="17"/>
        <v>153.04737241784497</v>
      </c>
      <c r="W43" s="6">
        <f>$H43*'AR5 Gear Ratios'!$D$5/('AR5 Gear Ratios'!$B$12/24)</f>
        <v>820.7961783439489</v>
      </c>
      <c r="X43" s="16">
        <f>(60*B43/'AR5 Gear Ratios'!$D$6)*(('AR5 Gear Ratios'!$B$12*3.14)/63360)</f>
        <v>114.73991311923011</v>
      </c>
      <c r="Y43" s="6">
        <f t="shared" si="18"/>
        <v>287.19717098488445</v>
      </c>
      <c r="Z43" s="6">
        <f>$H43*'AR5 Gear Ratios'!$D$6/('AR5 Gear Ratios'!$B$12/24)</f>
        <v>599.18121019108276</v>
      </c>
      <c r="AA43" s="16" t="e">
        <f>(60*B43/'AR5 Gear Ratios'!$D$7)*(('AR5 Gear Ratios'!$B$12*3.14)/63360)</f>
        <v>#DIV/0!</v>
      </c>
      <c r="AB43" s="6" t="e">
        <f t="shared" si="19"/>
        <v>#DIV/0!</v>
      </c>
      <c r="AC43" s="6">
        <f>$H43*'AR5 Gear Ratios'!$D$7/('AR5 Gear Ratios'!$B$12/24)</f>
        <v>0</v>
      </c>
    </row>
    <row r="44" spans="1:29" x14ac:dyDescent="0.3">
      <c r="A44" s="2">
        <v>41</v>
      </c>
      <c r="B44" s="2">
        <v>4100</v>
      </c>
      <c r="C44" s="6">
        <f t="shared" si="0"/>
        <v>68.333333333333329</v>
      </c>
      <c r="D44" s="6">
        <f t="shared" si="1"/>
        <v>429.13333333333333</v>
      </c>
      <c r="E44" s="6">
        <f t="shared" si="13"/>
        <v>187.91666666666666</v>
      </c>
      <c r="F44" s="6">
        <f t="shared" si="11"/>
        <v>103354.16666666666</v>
      </c>
      <c r="G44" s="7">
        <f t="shared" si="3"/>
        <v>140129.45833333334</v>
      </c>
      <c r="H44" s="6">
        <f t="shared" si="4"/>
        <v>240.84394904458597</v>
      </c>
      <c r="I44" s="6">
        <f>SQRT((G44*2)/'Acceleration Inputs'!$C$8)</f>
        <v>17.576387678976211</v>
      </c>
      <c r="J44" s="6">
        <f t="shared" si="12"/>
        <v>39.300802850190813</v>
      </c>
      <c r="K44" s="5">
        <f>AVERAGE($J$4:J44)</f>
        <v>26.649666609374595</v>
      </c>
      <c r="L44" s="16">
        <f>(60*B44/'AR5 Gear Ratios'!$D$2)*(('AR5 Gear Ratios'!$B$12*3.14)/63360)</f>
        <v>22.894437331057048</v>
      </c>
      <c r="M44" s="6">
        <f t="shared" si="14"/>
        <v>11.434339245973215</v>
      </c>
      <c r="N44" s="6">
        <f>$H44*'AR5 Gear Ratios'!$D$2/('AR5 Gear Ratios'!$B$12/24)</f>
        <v>3077.9856687898086</v>
      </c>
      <c r="O44" s="16">
        <f>(60*B44/'AR5 Gear Ratios'!$D$3)*(('AR5 Gear Ratios'!$B$12*3.14)/63360)</f>
        <v>37.988557518346873</v>
      </c>
      <c r="P44" s="6">
        <f t="shared" si="15"/>
        <v>31.481595200583115</v>
      </c>
      <c r="Q44" s="6">
        <f>$H44*'AR5 Gear Ratios'!$D$3/('AR5 Gear Ratios'!$B$12/24)</f>
        <v>1854.9993630573244</v>
      </c>
      <c r="R44" s="16">
        <f>(60*B44/'AR5 Gear Ratios'!$D$4)*(('AR5 Gear Ratios'!$B$12*3.14)/63360)</f>
        <v>62.667255468221846</v>
      </c>
      <c r="S44" s="6">
        <f t="shared" si="16"/>
        <v>85.670731337044231</v>
      </c>
      <c r="T44" s="6">
        <f>$H44*'AR5 Gear Ratios'!$D$4/('AR5 Gear Ratios'!$B$12/24)</f>
        <v>1124.4907643312101</v>
      </c>
      <c r="U44" s="16">
        <f>(60*B44/'AR5 Gear Ratios'!$D$5)*(('AR5 Gear Ratios'!$B$12*3.14)/63360)</f>
        <v>85.854139991463938</v>
      </c>
      <c r="V44" s="6">
        <f t="shared" si="17"/>
        <v>160.79539564649835</v>
      </c>
      <c r="W44" s="6">
        <f>$H44*'AR5 Gear Ratios'!$D$5/('AR5 Gear Ratios'!$B$12/24)</f>
        <v>820.7961783439489</v>
      </c>
      <c r="X44" s="16">
        <f>(60*B44/'AR5 Gear Ratios'!$D$6)*(('AR5 Gear Ratios'!$B$12*3.14)/63360)</f>
        <v>117.60841094721087</v>
      </c>
      <c r="Y44" s="6">
        <f t="shared" si="18"/>
        <v>301.73652776599431</v>
      </c>
      <c r="Z44" s="6">
        <f>$H44*'AR5 Gear Ratios'!$D$6/('AR5 Gear Ratios'!$B$12/24)</f>
        <v>599.18121019108276</v>
      </c>
      <c r="AA44" s="16" t="e">
        <f>(60*B44/'AR5 Gear Ratios'!$D$7)*(('AR5 Gear Ratios'!$B$12*3.14)/63360)</f>
        <v>#DIV/0!</v>
      </c>
      <c r="AB44" s="6" t="e">
        <f t="shared" si="19"/>
        <v>#DIV/0!</v>
      </c>
      <c r="AC44" s="6">
        <f>$H44*'AR5 Gear Ratios'!$D$7/('AR5 Gear Ratios'!$B$12/24)</f>
        <v>0</v>
      </c>
    </row>
    <row r="45" spans="1:29" x14ac:dyDescent="0.3">
      <c r="A45" s="2">
        <v>42</v>
      </c>
      <c r="B45" s="2">
        <v>4200</v>
      </c>
      <c r="C45" s="6">
        <f t="shared" si="0"/>
        <v>70</v>
      </c>
      <c r="D45" s="6">
        <f t="shared" si="1"/>
        <v>439.6</v>
      </c>
      <c r="E45" s="6">
        <f t="shared" si="13"/>
        <v>192.5</v>
      </c>
      <c r="F45" s="6">
        <f t="shared" si="11"/>
        <v>105875</v>
      </c>
      <c r="G45" s="7">
        <f t="shared" si="3"/>
        <v>143547.25</v>
      </c>
      <c r="H45" s="6">
        <f t="shared" si="4"/>
        <v>240.84394904458597</v>
      </c>
      <c r="I45" s="6">
        <f>SQRT((G45*2)/'Acceleration Inputs'!$C$8)</f>
        <v>17.789442581205293</v>
      </c>
      <c r="J45" s="6">
        <f t="shared" si="12"/>
        <v>39.777193611575036</v>
      </c>
      <c r="K45" s="5">
        <f>AVERAGE($J$4:J45)</f>
        <v>26.962226776093654</v>
      </c>
      <c r="L45" s="16">
        <f>(60*B45/'AR5 Gear Ratios'!$D$2)*(('AR5 Gear Ratios'!$B$12*3.14)/63360)</f>
        <v>23.452838241570635</v>
      </c>
      <c r="M45" s="6">
        <f t="shared" si="14"/>
        <v>11.998913997559042</v>
      </c>
      <c r="N45" s="6">
        <f>$H45*'AR5 Gear Ratios'!$D$2/('AR5 Gear Ratios'!$B$12/24)</f>
        <v>3077.9856687898086</v>
      </c>
      <c r="O45" s="16">
        <f>(60*B45/'AR5 Gear Ratios'!$D$3)*(('AR5 Gear Ratios'!$B$12*3.14)/63360)</f>
        <v>38.91510770172119</v>
      </c>
      <c r="P45" s="6">
        <f t="shared" si="15"/>
        <v>33.036010668547668</v>
      </c>
      <c r="Q45" s="6">
        <f>$H45*'AR5 Gear Ratios'!$D$3/('AR5 Gear Ratios'!$B$12/24)</f>
        <v>1854.9993630573244</v>
      </c>
      <c r="R45" s="16">
        <f>(60*B45/'AR5 Gear Ratios'!$D$4)*(('AR5 Gear Ratios'!$B$12*3.14)/63360)</f>
        <v>64.195725113788228</v>
      </c>
      <c r="S45" s="6">
        <f t="shared" si="16"/>
        <v>89.90075554940276</v>
      </c>
      <c r="T45" s="6">
        <f>$H45*'AR5 Gear Ratios'!$D$4/('AR5 Gear Ratios'!$B$12/24)</f>
        <v>1124.4907643312101</v>
      </c>
      <c r="U45" s="16">
        <f>(60*B45/'AR5 Gear Ratios'!$D$5)*(('AR5 Gear Ratios'!$B$12*3.14)/63360)</f>
        <v>87.94814340588988</v>
      </c>
      <c r="V45" s="6">
        <f t="shared" si="17"/>
        <v>168.734728090674</v>
      </c>
      <c r="W45" s="6">
        <f>$H45*'AR5 Gear Ratios'!$D$5/('AR5 Gear Ratios'!$B$12/24)</f>
        <v>820.7961783439489</v>
      </c>
      <c r="X45" s="16">
        <f>(60*B45/'AR5 Gear Ratios'!$D$6)*(('AR5 Gear Ratios'!$B$12*3.14)/63360)</f>
        <v>120.47690877519162</v>
      </c>
      <c r="Y45" s="6">
        <f t="shared" si="18"/>
        <v>316.6348810108351</v>
      </c>
      <c r="Z45" s="6">
        <f>$H45*'AR5 Gear Ratios'!$D$6/('AR5 Gear Ratios'!$B$12/24)</f>
        <v>599.18121019108276</v>
      </c>
      <c r="AA45" s="16" t="e">
        <f>(60*B45/'AR5 Gear Ratios'!$D$7)*(('AR5 Gear Ratios'!$B$12*3.14)/63360)</f>
        <v>#DIV/0!</v>
      </c>
      <c r="AB45" s="6" t="e">
        <f t="shared" si="19"/>
        <v>#DIV/0!</v>
      </c>
      <c r="AC45" s="6">
        <f>$H45*'AR5 Gear Ratios'!$D$7/('AR5 Gear Ratios'!$B$12/24)</f>
        <v>0</v>
      </c>
    </row>
    <row r="46" spans="1:29" x14ac:dyDescent="0.3">
      <c r="A46" s="2">
        <v>43</v>
      </c>
      <c r="B46" s="2">
        <v>4300</v>
      </c>
      <c r="C46" s="6">
        <f t="shared" si="0"/>
        <v>71.666666666666671</v>
      </c>
      <c r="D46" s="6">
        <f t="shared" si="1"/>
        <v>450.06666666666672</v>
      </c>
      <c r="E46" s="6">
        <f t="shared" si="13"/>
        <v>197.08333333333334</v>
      </c>
      <c r="F46" s="6">
        <f t="shared" si="11"/>
        <v>108395.83333333334</v>
      </c>
      <c r="G46" s="7">
        <f t="shared" si="3"/>
        <v>146965.04166666669</v>
      </c>
      <c r="H46" s="6">
        <f t="shared" si="4"/>
        <v>240.84394904458597</v>
      </c>
      <c r="I46" s="6">
        <f>SQRT((G46*2)/'Acceleration Inputs'!$C$8)</f>
        <v>17.999975857159736</v>
      </c>
      <c r="J46" s="6">
        <f t="shared" si="12"/>
        <v>40.247946016609177</v>
      </c>
      <c r="K46" s="5">
        <f>AVERAGE($J$4:J46)</f>
        <v>27.271196990989363</v>
      </c>
      <c r="L46" s="16">
        <f>(60*B46/'AR5 Gear Ratios'!$D$2)*(('AR5 Gear Ratios'!$B$12*3.14)/63360)</f>
        <v>24.011239152084219</v>
      </c>
      <c r="M46" s="6">
        <f t="shared" si="14"/>
        <v>12.577092960026453</v>
      </c>
      <c r="N46" s="6">
        <f>$H46*'AR5 Gear Ratios'!$D$2/('AR5 Gear Ratios'!$B$12/24)</f>
        <v>3077.9856687898086</v>
      </c>
      <c r="O46" s="16">
        <f>(60*B46/'AR5 Gear Ratios'!$D$3)*(('AR5 Gear Ratios'!$B$12*3.14)/63360)</f>
        <v>39.841657885095501</v>
      </c>
      <c r="P46" s="6">
        <f t="shared" si="15"/>
        <v>34.627881930920985</v>
      </c>
      <c r="Q46" s="6">
        <f>$H46*'AR5 Gear Ratios'!$D$3/('AR5 Gear Ratios'!$B$12/24)</f>
        <v>1854.9993630573244</v>
      </c>
      <c r="R46" s="16">
        <f>(60*B46/'AR5 Gear Ratios'!$D$4)*(('AR5 Gear Ratios'!$B$12*3.14)/63360)</f>
        <v>65.724194759354617</v>
      </c>
      <c r="S46" s="6">
        <f t="shared" si="16"/>
        <v>94.232708056034966</v>
      </c>
      <c r="T46" s="6">
        <f>$H46*'AR5 Gear Ratios'!$D$4/('AR5 Gear Ratios'!$B$12/24)</f>
        <v>1124.4907643312101</v>
      </c>
      <c r="U46" s="16">
        <f>(60*B46/'AR5 Gear Ratios'!$D$5)*(('AR5 Gear Ratios'!$B$12*3.14)/63360)</f>
        <v>90.042146820315835</v>
      </c>
      <c r="V46" s="6">
        <f t="shared" si="17"/>
        <v>176.86536975037211</v>
      </c>
      <c r="W46" s="6">
        <f>$H46*'AR5 Gear Ratios'!$D$5/('AR5 Gear Ratios'!$B$12/24)</f>
        <v>820.7961783439489</v>
      </c>
      <c r="X46" s="16">
        <f>(60*B46/'AR5 Gear Ratios'!$D$6)*(('AR5 Gear Ratios'!$B$12*3.14)/63360)</f>
        <v>123.34540660317236</v>
      </c>
      <c r="Y46" s="6">
        <f t="shared" si="18"/>
        <v>331.89223071940705</v>
      </c>
      <c r="Z46" s="6">
        <f>$H46*'AR5 Gear Ratios'!$D$6/('AR5 Gear Ratios'!$B$12/24)</f>
        <v>599.18121019108276</v>
      </c>
      <c r="AA46" s="16" t="e">
        <f>(60*B46/'AR5 Gear Ratios'!$D$7)*(('AR5 Gear Ratios'!$B$12*3.14)/63360)</f>
        <v>#DIV/0!</v>
      </c>
      <c r="AB46" s="6" t="e">
        <f t="shared" si="19"/>
        <v>#DIV/0!</v>
      </c>
      <c r="AC46" s="6">
        <f>$H46*'AR5 Gear Ratios'!$D$7/('AR5 Gear Ratios'!$B$12/24)</f>
        <v>0</v>
      </c>
    </row>
    <row r="47" spans="1:29" x14ac:dyDescent="0.3">
      <c r="A47" s="2">
        <v>44</v>
      </c>
      <c r="B47" s="2">
        <v>4400</v>
      </c>
      <c r="C47" s="6">
        <f t="shared" si="0"/>
        <v>73.333333333333329</v>
      </c>
      <c r="D47" s="6">
        <f t="shared" si="1"/>
        <v>460.5333333333333</v>
      </c>
      <c r="E47" s="6">
        <f t="shared" si="13"/>
        <v>201.66666666666666</v>
      </c>
      <c r="F47" s="6">
        <f t="shared" si="11"/>
        <v>110916.66666666666</v>
      </c>
      <c r="G47" s="7">
        <f t="shared" si="3"/>
        <v>150382.83333333334</v>
      </c>
      <c r="H47" s="6">
        <f t="shared" si="4"/>
        <v>240.84394904458597</v>
      </c>
      <c r="I47" s="6">
        <f>SQRT((G47*2)/'Acceleration Inputs'!$C$8)</f>
        <v>18.208074976961917</v>
      </c>
      <c r="J47" s="6">
        <f t="shared" si="12"/>
        <v>40.71325564848685</v>
      </c>
      <c r="K47" s="5">
        <f>AVERAGE($J$4:J47)</f>
        <v>27.576698324114307</v>
      </c>
      <c r="L47" s="16">
        <f>(60*B47/'AR5 Gear Ratios'!$D$2)*(('AR5 Gear Ratios'!$B$12*3.14)/63360)</f>
        <v>24.569640062597809</v>
      </c>
      <c r="M47" s="6">
        <f t="shared" si="14"/>
        <v>13.168876133375461</v>
      </c>
      <c r="N47" s="6">
        <f>$H47*'AR5 Gear Ratios'!$D$2/('AR5 Gear Ratios'!$B$12/24)</f>
        <v>3077.9856687898086</v>
      </c>
      <c r="O47" s="16">
        <f>(60*B47/'AR5 Gear Ratios'!$D$3)*(('AR5 Gear Ratios'!$B$12*3.14)/63360)</f>
        <v>40.768208068469818</v>
      </c>
      <c r="P47" s="6">
        <f t="shared" si="15"/>
        <v>36.257208987703109</v>
      </c>
      <c r="Q47" s="6">
        <f>$H47*'AR5 Gear Ratios'!$D$3/('AR5 Gear Ratios'!$B$12/24)</f>
        <v>1854.9993630573244</v>
      </c>
      <c r="R47" s="16">
        <f>(60*B47/'AR5 Gear Ratios'!$D$4)*(('AR5 Gear Ratios'!$B$12*3.14)/63360)</f>
        <v>67.252664404921006</v>
      </c>
      <c r="S47" s="6">
        <f t="shared" si="16"/>
        <v>98.666588856940891</v>
      </c>
      <c r="T47" s="6">
        <f>$H47*'AR5 Gear Ratios'!$D$4/('AR5 Gear Ratios'!$B$12/24)</f>
        <v>1124.4907643312101</v>
      </c>
      <c r="U47" s="16">
        <f>(60*B47/'AR5 Gear Ratios'!$D$5)*(('AR5 Gear Ratios'!$B$12*3.14)/63360)</f>
        <v>92.136150234741791</v>
      </c>
      <c r="V47" s="6">
        <f t="shared" si="17"/>
        <v>185.18732062559241</v>
      </c>
      <c r="W47" s="6">
        <f>$H47*'AR5 Gear Ratios'!$D$5/('AR5 Gear Ratios'!$B$12/24)</f>
        <v>820.7961783439489</v>
      </c>
      <c r="X47" s="16">
        <f>(60*B47/'AR5 Gear Ratios'!$D$6)*(('AR5 Gear Ratios'!$B$12*3.14)/63360)</f>
        <v>126.21390443115314</v>
      </c>
      <c r="Y47" s="6">
        <f t="shared" si="18"/>
        <v>347.50857689171028</v>
      </c>
      <c r="Z47" s="6">
        <f>$H47*'AR5 Gear Ratios'!$D$6/('AR5 Gear Ratios'!$B$12/24)</f>
        <v>599.18121019108276</v>
      </c>
      <c r="AA47" s="16" t="e">
        <f>(60*B47/'AR5 Gear Ratios'!$D$7)*(('AR5 Gear Ratios'!$B$12*3.14)/63360)</f>
        <v>#DIV/0!</v>
      </c>
      <c r="AB47" s="6" t="e">
        <f t="shared" si="19"/>
        <v>#DIV/0!</v>
      </c>
      <c r="AC47" s="6">
        <f>$H47*'AR5 Gear Ratios'!$D$7/('AR5 Gear Ratios'!$B$12/24)</f>
        <v>0</v>
      </c>
    </row>
    <row r="48" spans="1:29" x14ac:dyDescent="0.3">
      <c r="A48" s="2">
        <v>45</v>
      </c>
      <c r="B48" s="2">
        <v>4500</v>
      </c>
      <c r="C48" s="6">
        <f t="shared" si="0"/>
        <v>75</v>
      </c>
      <c r="D48" s="6">
        <f t="shared" si="1"/>
        <v>471</v>
      </c>
      <c r="E48" s="6">
        <f t="shared" si="13"/>
        <v>206.25</v>
      </c>
      <c r="F48" s="6">
        <f t="shared" si="11"/>
        <v>113437.5</v>
      </c>
      <c r="G48" s="7">
        <f t="shared" si="3"/>
        <v>153800.625</v>
      </c>
      <c r="H48" s="6">
        <f t="shared" si="4"/>
        <v>240.843949044586</v>
      </c>
      <c r="I48" s="6">
        <f>SQRT((G48*2)/'Acceleration Inputs'!$C$8)</f>
        <v>18.413822467782186</v>
      </c>
      <c r="J48" s="6">
        <f t="shared" si="12"/>
        <v>41.173307037960974</v>
      </c>
      <c r="K48" s="5">
        <f>AVERAGE($J$4:J48)</f>
        <v>27.878845184422012</v>
      </c>
      <c r="L48" s="16">
        <f>(60*B48/'AR5 Gear Ratios'!$D$2)*(('AR5 Gear Ratios'!$B$12*3.14)/63360)</f>
        <v>25.128040973111396</v>
      </c>
      <c r="M48" s="6">
        <f t="shared" si="14"/>
        <v>13.774263517606045</v>
      </c>
      <c r="N48" s="6">
        <f>$H48*'AR5 Gear Ratios'!$D$2/('AR5 Gear Ratios'!$B$12/24)</f>
        <v>3077.9856687898086</v>
      </c>
      <c r="O48" s="16">
        <f>(60*B48/'AR5 Gear Ratios'!$D$3)*(('AR5 Gear Ratios'!$B$12*3.14)/63360)</f>
        <v>41.694758251844128</v>
      </c>
      <c r="P48" s="6">
        <f t="shared" si="15"/>
        <v>37.923991838893997</v>
      </c>
      <c r="Q48" s="6">
        <f>$H48*'AR5 Gear Ratios'!$D$3/('AR5 Gear Ratios'!$B$12/24)</f>
        <v>1854.9993630573247</v>
      </c>
      <c r="R48" s="16">
        <f>(60*B48/'AR5 Gear Ratios'!$D$4)*(('AR5 Gear Ratios'!$B$12*3.14)/63360)</f>
        <v>68.781134050487395</v>
      </c>
      <c r="S48" s="6">
        <f t="shared" si="16"/>
        <v>103.20239795212051</v>
      </c>
      <c r="T48" s="6">
        <f>$H48*'AR5 Gear Ratios'!$D$4/('AR5 Gear Ratios'!$B$12/24)</f>
        <v>1124.4907643312101</v>
      </c>
      <c r="U48" s="16">
        <f>(60*B48/'AR5 Gear Ratios'!$D$5)*(('AR5 Gear Ratios'!$B$12*3.14)/63360)</f>
        <v>94.230153649167733</v>
      </c>
      <c r="V48" s="6">
        <f t="shared" si="17"/>
        <v>193.70058071633505</v>
      </c>
      <c r="W48" s="6">
        <f>$H48*'AR5 Gear Ratios'!$D$5/('AR5 Gear Ratios'!$B$12/24)</f>
        <v>820.79617834394901</v>
      </c>
      <c r="X48" s="16">
        <f>(60*B48/'AR5 Gear Ratios'!$D$6)*(('AR5 Gear Ratios'!$B$12*3.14)/63360)</f>
        <v>129.08240225913389</v>
      </c>
      <c r="Y48" s="6">
        <f t="shared" si="18"/>
        <v>363.48391952774443</v>
      </c>
      <c r="Z48" s="6">
        <f>$H48*'AR5 Gear Ratios'!$D$6/('AR5 Gear Ratios'!$B$12/24)</f>
        <v>599.18121019108276</v>
      </c>
      <c r="AA48" s="16" t="e">
        <f>(60*B48/'AR5 Gear Ratios'!$D$7)*(('AR5 Gear Ratios'!$B$12*3.14)/63360)</f>
        <v>#DIV/0!</v>
      </c>
      <c r="AB48" s="6" t="e">
        <f t="shared" si="19"/>
        <v>#DIV/0!</v>
      </c>
      <c r="AC48" s="6">
        <f>$H48*'AR5 Gear Ratios'!$D$7/('AR5 Gear Ratios'!$B$12/24)</f>
        <v>0</v>
      </c>
    </row>
    <row r="49" spans="1:29" x14ac:dyDescent="0.3">
      <c r="A49" s="2">
        <v>46</v>
      </c>
      <c r="B49" s="2">
        <v>4600</v>
      </c>
      <c r="C49" s="6">
        <f t="shared" si="0"/>
        <v>76.666666666666671</v>
      </c>
      <c r="D49" s="6">
        <f t="shared" si="1"/>
        <v>481.4666666666667</v>
      </c>
      <c r="E49" s="6">
        <f t="shared" si="13"/>
        <v>210.83333333333334</v>
      </c>
      <c r="F49" s="6">
        <f t="shared" si="11"/>
        <v>115958.33333333334</v>
      </c>
      <c r="G49" s="7">
        <f t="shared" si="3"/>
        <v>157218.41666666669</v>
      </c>
      <c r="H49" s="6">
        <f t="shared" si="4"/>
        <v>240.843949044586</v>
      </c>
      <c r="I49" s="6">
        <f>SQRT((G49*2)/'Acceleration Inputs'!$C$8)</f>
        <v>18.617296296276038</v>
      </c>
      <c r="J49" s="6">
        <f t="shared" si="12"/>
        <v>41.628274518473226</v>
      </c>
      <c r="K49" s="5">
        <f>AVERAGE($J$4:J49)</f>
        <v>28.177745822118776</v>
      </c>
      <c r="L49" s="16">
        <f>(60*B49/'AR5 Gear Ratios'!$D$2)*(('AR5 Gear Ratios'!$B$12*3.14)/63360)</f>
        <v>25.68644188362498</v>
      </c>
      <c r="M49" s="6">
        <f t="shared" si="14"/>
        <v>14.393255112718217</v>
      </c>
      <c r="N49" s="6">
        <f>$H49*'AR5 Gear Ratios'!$D$2/('AR5 Gear Ratios'!$B$12/24)</f>
        <v>3077.9856687898086</v>
      </c>
      <c r="O49" s="16">
        <f>(60*B49/'AR5 Gear Ratios'!$D$3)*(('AR5 Gear Ratios'!$B$12*3.14)/63360)</f>
        <v>42.621308435218438</v>
      </c>
      <c r="P49" s="6">
        <f t="shared" si="15"/>
        <v>39.62823048449367</v>
      </c>
      <c r="Q49" s="6">
        <f>$H49*'AR5 Gear Ratios'!$D$3/('AR5 Gear Ratios'!$B$12/24)</f>
        <v>1854.9993630573247</v>
      </c>
      <c r="R49" s="16">
        <f>(60*B49/'AR5 Gear Ratios'!$D$4)*(('AR5 Gear Ratios'!$B$12*3.14)/63360)</f>
        <v>70.309603696053784</v>
      </c>
      <c r="S49" s="6">
        <f t="shared" si="16"/>
        <v>107.84013534157384</v>
      </c>
      <c r="T49" s="6">
        <f>$H49*'AR5 Gear Ratios'!$D$4/('AR5 Gear Ratios'!$B$12/24)</f>
        <v>1124.4907643312101</v>
      </c>
      <c r="U49" s="16">
        <f>(60*B49/'AR5 Gear Ratios'!$D$5)*(('AR5 Gear Ratios'!$B$12*3.14)/63360)</f>
        <v>96.324157063593674</v>
      </c>
      <c r="V49" s="6">
        <f t="shared" si="17"/>
        <v>202.40515002259986</v>
      </c>
      <c r="W49" s="6">
        <f>$H49*'AR5 Gear Ratios'!$D$5/('AR5 Gear Ratios'!$B$12/24)</f>
        <v>820.79617834394901</v>
      </c>
      <c r="X49" s="16">
        <f>(60*B49/'AR5 Gear Ratios'!$D$6)*(('AR5 Gear Ratios'!$B$12*3.14)/63360)</f>
        <v>131.95090008711463</v>
      </c>
      <c r="Y49" s="6">
        <f t="shared" si="18"/>
        <v>379.81825862750969</v>
      </c>
      <c r="Z49" s="6">
        <f>$H49*'AR5 Gear Ratios'!$D$6/('AR5 Gear Ratios'!$B$12/24)</f>
        <v>599.18121019108276</v>
      </c>
      <c r="AA49" s="16" t="e">
        <f>(60*B49/'AR5 Gear Ratios'!$D$7)*(('AR5 Gear Ratios'!$B$12*3.14)/63360)</f>
        <v>#DIV/0!</v>
      </c>
      <c r="AB49" s="6" t="e">
        <f t="shared" si="19"/>
        <v>#DIV/0!</v>
      </c>
      <c r="AC49" s="6">
        <f>$H49*'AR5 Gear Ratios'!$D$7/('AR5 Gear Ratios'!$B$12/24)</f>
        <v>0</v>
      </c>
    </row>
    <row r="50" spans="1:29" x14ac:dyDescent="0.3">
      <c r="A50" s="2">
        <v>47</v>
      </c>
      <c r="B50" s="2">
        <v>4700</v>
      </c>
      <c r="C50" s="6">
        <f t="shared" si="0"/>
        <v>78.333333333333329</v>
      </c>
      <c r="D50" s="6">
        <f t="shared" si="1"/>
        <v>491.93333333333334</v>
      </c>
      <c r="E50" s="6">
        <f t="shared" si="13"/>
        <v>215.41666666666666</v>
      </c>
      <c r="F50" s="6">
        <f t="shared" si="11"/>
        <v>118479.16666666666</v>
      </c>
      <c r="G50" s="7">
        <f t="shared" si="3"/>
        <v>160636.20833333334</v>
      </c>
      <c r="H50" s="6">
        <f t="shared" si="4"/>
        <v>240.84394904458597</v>
      </c>
      <c r="I50" s="6">
        <f>SQRT((G50*2)/'Acceleration Inputs'!$C$8)</f>
        <v>18.818570213798569</v>
      </c>
      <c r="J50" s="6">
        <f t="shared" si="12"/>
        <v>42.078322998053608</v>
      </c>
      <c r="K50" s="5">
        <f>AVERAGE($J$4:J50)</f>
        <v>28.473502783308881</v>
      </c>
      <c r="L50" s="16">
        <f>(60*B50/'AR5 Gear Ratios'!$D$2)*(('AR5 Gear Ratios'!$B$12*3.14)/63360)</f>
        <v>26.24484279413857</v>
      </c>
      <c r="M50" s="6">
        <f t="shared" si="14"/>
        <v>15.025850918711981</v>
      </c>
      <c r="N50" s="6">
        <f>$H50*'AR5 Gear Ratios'!$D$2/('AR5 Gear Ratios'!$B$12/24)</f>
        <v>3077.9856687898086</v>
      </c>
      <c r="O50" s="16">
        <f>(60*B50/'AR5 Gear Ratios'!$D$3)*(('AR5 Gear Ratios'!$B$12*3.14)/63360)</f>
        <v>43.547858618592755</v>
      </c>
      <c r="P50" s="6">
        <f t="shared" si="15"/>
        <v>41.369924924502143</v>
      </c>
      <c r="Q50" s="6">
        <f>$H50*'AR5 Gear Ratios'!$D$3/('AR5 Gear Ratios'!$B$12/24)</f>
        <v>1854.9993630573244</v>
      </c>
      <c r="R50" s="16">
        <f>(60*B50/'AR5 Gear Ratios'!$D$4)*(('AR5 Gear Ratios'!$B$12*3.14)/63360)</f>
        <v>71.838073341620174</v>
      </c>
      <c r="S50" s="6">
        <f t="shared" si="16"/>
        <v>112.57980102530084</v>
      </c>
      <c r="T50" s="6">
        <f>$H50*'AR5 Gear Ratios'!$D$4/('AR5 Gear Ratios'!$B$12/24)</f>
        <v>1124.4907643312101</v>
      </c>
      <c r="U50" s="16">
        <f>(60*B50/'AR5 Gear Ratios'!$D$5)*(('AR5 Gear Ratios'!$B$12*3.14)/63360)</f>
        <v>98.418160478019644</v>
      </c>
      <c r="V50" s="6">
        <f t="shared" si="17"/>
        <v>211.30102854438715</v>
      </c>
      <c r="W50" s="6">
        <f>$H50*'AR5 Gear Ratios'!$D$5/('AR5 Gear Ratios'!$B$12/24)</f>
        <v>820.7961783439489</v>
      </c>
      <c r="X50" s="16">
        <f>(60*B50/'AR5 Gear Ratios'!$D$6)*(('AR5 Gear Ratios'!$B$12*3.14)/63360)</f>
        <v>134.81939791509541</v>
      </c>
      <c r="Y50" s="6">
        <f t="shared" si="18"/>
        <v>396.51159419100617</v>
      </c>
      <c r="Z50" s="6">
        <f>$H50*'AR5 Gear Ratios'!$D$6/('AR5 Gear Ratios'!$B$12/24)</f>
        <v>599.18121019108276</v>
      </c>
      <c r="AA50" s="16" t="e">
        <f>(60*B50/'AR5 Gear Ratios'!$D$7)*(('AR5 Gear Ratios'!$B$12*3.14)/63360)</f>
        <v>#DIV/0!</v>
      </c>
      <c r="AB50" s="6" t="e">
        <f t="shared" si="19"/>
        <v>#DIV/0!</v>
      </c>
      <c r="AC50" s="6">
        <f>$H50*'AR5 Gear Ratios'!$D$7/('AR5 Gear Ratios'!$B$12/24)</f>
        <v>0</v>
      </c>
    </row>
    <row r="51" spans="1:29" x14ac:dyDescent="0.3">
      <c r="A51" s="2">
        <v>48</v>
      </c>
      <c r="B51" s="2">
        <v>4800</v>
      </c>
      <c r="C51" s="6">
        <f t="shared" si="0"/>
        <v>80</v>
      </c>
      <c r="D51" s="6">
        <f t="shared" si="1"/>
        <v>502.40000000000003</v>
      </c>
      <c r="E51" s="6">
        <f t="shared" si="13"/>
        <v>220</v>
      </c>
      <c r="F51" s="6">
        <f t="shared" si="11"/>
        <v>121000</v>
      </c>
      <c r="G51" s="7">
        <f t="shared" si="3"/>
        <v>164054</v>
      </c>
      <c r="H51" s="6">
        <f t="shared" si="4"/>
        <v>240.84394904458597</v>
      </c>
      <c r="I51" s="6">
        <f>SQRT((G51*2)/'Acceleration Inputs'!$C$8)</f>
        <v>19.017714068730765</v>
      </c>
      <c r="J51" s="6">
        <f t="shared" si="12"/>
        <v>42.523608657681997</v>
      </c>
      <c r="K51" s="5">
        <f>AVERAGE($J$4:J51)</f>
        <v>28.766213322358322</v>
      </c>
      <c r="L51" s="16">
        <f>(60*B51/'AR5 Gear Ratios'!$D$2)*(('AR5 Gear Ratios'!$B$12*3.14)/63360)</f>
        <v>26.803243704652154</v>
      </c>
      <c r="M51" s="6">
        <f t="shared" si="14"/>
        <v>15.67205093558732</v>
      </c>
      <c r="N51" s="6">
        <f>$H51*'AR5 Gear Ratios'!$D$2/('AR5 Gear Ratios'!$B$12/24)</f>
        <v>3077.9856687898086</v>
      </c>
      <c r="O51" s="16">
        <f>(60*B51/'AR5 Gear Ratios'!$D$3)*(('AR5 Gear Ratios'!$B$12*3.14)/63360)</f>
        <v>44.474408801967073</v>
      </c>
      <c r="P51" s="6">
        <f t="shared" si="15"/>
        <v>43.149075158919402</v>
      </c>
      <c r="Q51" s="6">
        <f>$H51*'AR5 Gear Ratios'!$D$3/('AR5 Gear Ratios'!$B$12/24)</f>
        <v>1854.9993630573244</v>
      </c>
      <c r="R51" s="16">
        <f>(60*B51/'AR5 Gear Ratios'!$D$4)*(('AR5 Gear Ratios'!$B$12*3.14)/63360)</f>
        <v>73.366542987186548</v>
      </c>
      <c r="S51" s="6">
        <f t="shared" si="16"/>
        <v>117.42139500330155</v>
      </c>
      <c r="T51" s="6">
        <f>$H51*'AR5 Gear Ratios'!$D$4/('AR5 Gear Ratios'!$B$12/24)</f>
        <v>1124.4907643312101</v>
      </c>
      <c r="U51" s="16">
        <f>(60*B51/'AR5 Gear Ratios'!$D$5)*(('AR5 Gear Ratios'!$B$12*3.14)/63360)</f>
        <v>100.51216389244559</v>
      </c>
      <c r="V51" s="6">
        <f t="shared" si="17"/>
        <v>220.38821628169671</v>
      </c>
      <c r="W51" s="6">
        <f>$H51*'AR5 Gear Ratios'!$D$5/('AR5 Gear Ratios'!$B$12/24)</f>
        <v>820.7961783439489</v>
      </c>
      <c r="X51" s="16">
        <f>(60*B51/'AR5 Gear Ratios'!$D$6)*(('AR5 Gear Ratios'!$B$12*3.14)/63360)</f>
        <v>137.68789574307615</v>
      </c>
      <c r="Y51" s="6">
        <f t="shared" si="18"/>
        <v>413.56392621823375</v>
      </c>
      <c r="Z51" s="6">
        <f>$H51*'AR5 Gear Ratios'!$D$6/('AR5 Gear Ratios'!$B$12/24)</f>
        <v>599.18121019108276</v>
      </c>
      <c r="AA51" s="16" t="e">
        <f>(60*B51/'AR5 Gear Ratios'!$D$7)*(('AR5 Gear Ratios'!$B$12*3.14)/63360)</f>
        <v>#DIV/0!</v>
      </c>
      <c r="AB51" s="6" t="e">
        <f t="shared" si="19"/>
        <v>#DIV/0!</v>
      </c>
      <c r="AC51" s="6">
        <f>$H51*'AR5 Gear Ratios'!$D$7/('AR5 Gear Ratios'!$B$12/24)</f>
        <v>0</v>
      </c>
    </row>
    <row r="52" spans="1:29" x14ac:dyDescent="0.3">
      <c r="A52" s="2">
        <v>49</v>
      </c>
      <c r="B52" s="2">
        <v>4900</v>
      </c>
      <c r="C52" s="6">
        <f t="shared" si="0"/>
        <v>81.666666666666671</v>
      </c>
      <c r="D52" s="6">
        <f t="shared" si="1"/>
        <v>512.86666666666667</v>
      </c>
      <c r="E52" s="6">
        <f t="shared" si="13"/>
        <v>224.58333333333334</v>
      </c>
      <c r="F52" s="6">
        <f t="shared" si="11"/>
        <v>123520.83333333334</v>
      </c>
      <c r="G52" s="7">
        <f t="shared" si="3"/>
        <v>167471.79166666669</v>
      </c>
      <c r="H52" s="6">
        <f t="shared" si="4"/>
        <v>240.843949044586</v>
      </c>
      <c r="I52" s="6">
        <f>SQRT((G52*2)/'Acceleration Inputs'!$C$8)</f>
        <v>19.214794089667819</v>
      </c>
      <c r="J52" s="6">
        <f t="shared" si="12"/>
        <v>42.964279584497248</v>
      </c>
      <c r="K52" s="5">
        <f>AVERAGE($J$4:J52)</f>
        <v>29.055969776687686</v>
      </c>
      <c r="L52" s="16">
        <f>(60*B52/'AR5 Gear Ratios'!$D$2)*(('AR5 Gear Ratios'!$B$12*3.14)/63360)</f>
        <v>27.361644615165741</v>
      </c>
      <c r="M52" s="6">
        <f t="shared" si="14"/>
        <v>16.331855163344255</v>
      </c>
      <c r="N52" s="6">
        <f>$H52*'AR5 Gear Ratios'!$D$2/('AR5 Gear Ratios'!$B$12/24)</f>
        <v>3077.9856687898086</v>
      </c>
      <c r="O52" s="16">
        <f>(60*B52/'AR5 Gear Ratios'!$D$3)*(('AR5 Gear Ratios'!$B$12*3.14)/63360)</f>
        <v>45.400958985341383</v>
      </c>
      <c r="P52" s="6">
        <f t="shared" si="15"/>
        <v>44.965681187745425</v>
      </c>
      <c r="Q52" s="6">
        <f>$H52*'AR5 Gear Ratios'!$D$3/('AR5 Gear Ratios'!$B$12/24)</f>
        <v>1854.9993630573247</v>
      </c>
      <c r="R52" s="16">
        <f>(60*B52/'AR5 Gear Ratios'!$D$4)*(('AR5 Gear Ratios'!$B$12*3.14)/63360)</f>
        <v>74.895012632752938</v>
      </c>
      <c r="S52" s="6">
        <f t="shared" si="16"/>
        <v>122.36491727557595</v>
      </c>
      <c r="T52" s="6">
        <f>$H52*'AR5 Gear Ratios'!$D$4/('AR5 Gear Ratios'!$B$12/24)</f>
        <v>1124.4907643312101</v>
      </c>
      <c r="U52" s="16">
        <f>(60*B52/'AR5 Gear Ratios'!$D$5)*(('AR5 Gear Ratios'!$B$12*3.14)/63360)</f>
        <v>102.60616730687153</v>
      </c>
      <c r="V52" s="6">
        <f t="shared" si="17"/>
        <v>229.66671323452857</v>
      </c>
      <c r="W52" s="6">
        <f>$H52*'AR5 Gear Ratios'!$D$5/('AR5 Gear Ratios'!$B$12/24)</f>
        <v>820.79617834394901</v>
      </c>
      <c r="X52" s="16">
        <f>(60*B52/'AR5 Gear Ratios'!$D$6)*(('AR5 Gear Ratios'!$B$12*3.14)/63360)</f>
        <v>140.5563935710569</v>
      </c>
      <c r="Y52" s="6">
        <f t="shared" si="18"/>
        <v>430.97525470919231</v>
      </c>
      <c r="Z52" s="6">
        <f>$H52*'AR5 Gear Ratios'!$D$6/('AR5 Gear Ratios'!$B$12/24)</f>
        <v>599.18121019108276</v>
      </c>
      <c r="AA52" s="16" t="e">
        <f>(60*B52/'AR5 Gear Ratios'!$D$7)*(('AR5 Gear Ratios'!$B$12*3.14)/63360)</f>
        <v>#DIV/0!</v>
      </c>
      <c r="AB52" s="6" t="e">
        <f t="shared" si="19"/>
        <v>#DIV/0!</v>
      </c>
      <c r="AC52" s="6">
        <f>$H52*'AR5 Gear Ratios'!$D$7/('AR5 Gear Ratios'!$B$12/24)</f>
        <v>0</v>
      </c>
    </row>
    <row r="53" spans="1:29" x14ac:dyDescent="0.3">
      <c r="A53" s="2">
        <v>50</v>
      </c>
      <c r="B53" s="2">
        <v>5000</v>
      </c>
      <c r="C53" s="6">
        <f t="shared" si="0"/>
        <v>83.333333333333329</v>
      </c>
      <c r="D53" s="6">
        <f t="shared" si="1"/>
        <v>523.33333333333337</v>
      </c>
      <c r="E53" s="6">
        <f t="shared" si="13"/>
        <v>229.16666666666669</v>
      </c>
      <c r="F53" s="6">
        <f t="shared" si="11"/>
        <v>126041.66666666667</v>
      </c>
      <c r="G53" s="7">
        <f t="shared" si="3"/>
        <v>170889.58333333337</v>
      </c>
      <c r="H53" s="6">
        <f t="shared" si="4"/>
        <v>240.84394904458597</v>
      </c>
      <c r="I53" s="6">
        <f>SQRT((G53*2)/'Acceleration Inputs'!$C$8)</f>
        <v>19.409873142724731</v>
      </c>
      <c r="J53" s="6">
        <f t="shared" si="12"/>
        <v>43.400476347132503</v>
      </c>
      <c r="K53" s="5">
        <f>AVERAGE($J$4:J53)</f>
        <v>29.342859908096585</v>
      </c>
      <c r="L53" s="16">
        <f>(60*B53/'AR5 Gear Ratios'!$D$2)*(('AR5 Gear Ratios'!$B$12*3.14)/63360)</f>
        <v>27.920045525679328</v>
      </c>
      <c r="M53" s="6">
        <f t="shared" si="14"/>
        <v>17.005263601982772</v>
      </c>
      <c r="N53" s="6">
        <f>$H53*'AR5 Gear Ratios'!$D$2/('AR5 Gear Ratios'!$B$12/24)</f>
        <v>3077.9856687898086</v>
      </c>
      <c r="O53" s="16">
        <f>(60*B53/'AR5 Gear Ratios'!$D$3)*(('AR5 Gear Ratios'!$B$12*3.14)/63360)</f>
        <v>46.3275091687157</v>
      </c>
      <c r="P53" s="6">
        <f t="shared" si="15"/>
        <v>46.819743010980247</v>
      </c>
      <c r="Q53" s="6">
        <f>$H53*'AR5 Gear Ratios'!$D$3/('AR5 Gear Ratios'!$B$12/24)</f>
        <v>1854.9993630573244</v>
      </c>
      <c r="R53" s="16">
        <f>(60*B53/'AR5 Gear Ratios'!$D$4)*(('AR5 Gear Ratios'!$B$12*3.14)/63360)</f>
        <v>76.423482278319327</v>
      </c>
      <c r="S53" s="6">
        <f t="shared" si="16"/>
        <v>127.4103678421241</v>
      </c>
      <c r="T53" s="6">
        <f>$H53*'AR5 Gear Ratios'!$D$4/('AR5 Gear Ratios'!$B$12/24)</f>
        <v>1124.4907643312101</v>
      </c>
      <c r="U53" s="16">
        <f>(60*B53/'AR5 Gear Ratios'!$D$5)*(('AR5 Gear Ratios'!$B$12*3.14)/63360)</f>
        <v>104.70017072129748</v>
      </c>
      <c r="V53" s="6">
        <f t="shared" si="17"/>
        <v>239.13651940288275</v>
      </c>
      <c r="W53" s="6">
        <f>$H53*'AR5 Gear Ratios'!$D$5/('AR5 Gear Ratios'!$B$12/24)</f>
        <v>820.7961783439489</v>
      </c>
      <c r="X53" s="16">
        <f>(60*B53/'AR5 Gear Ratios'!$D$6)*(('AR5 Gear Ratios'!$B$12*3.14)/63360)</f>
        <v>143.42489139903765</v>
      </c>
      <c r="Y53" s="6">
        <f t="shared" si="18"/>
        <v>448.74557966388204</v>
      </c>
      <c r="Z53" s="6">
        <f>$H53*'AR5 Gear Ratios'!$D$6/('AR5 Gear Ratios'!$B$12/24)</f>
        <v>599.18121019108276</v>
      </c>
      <c r="AA53" s="16" t="e">
        <f>(60*B53/'AR5 Gear Ratios'!$D$7)*(('AR5 Gear Ratios'!$B$12*3.14)/63360)</f>
        <v>#DIV/0!</v>
      </c>
      <c r="AB53" s="6" t="e">
        <f t="shared" si="19"/>
        <v>#DIV/0!</v>
      </c>
      <c r="AC53" s="6">
        <f>$H53*'AR5 Gear Ratios'!$D$7/('AR5 Gear Ratios'!$B$12/24)</f>
        <v>0</v>
      </c>
    </row>
    <row r="54" spans="1:29" x14ac:dyDescent="0.3">
      <c r="A54" s="2">
        <v>51</v>
      </c>
      <c r="B54" s="2">
        <v>5100</v>
      </c>
      <c r="C54" s="6">
        <f t="shared" si="0"/>
        <v>85</v>
      </c>
      <c r="D54" s="6">
        <f t="shared" si="1"/>
        <v>533.80000000000007</v>
      </c>
      <c r="E54" s="6">
        <f t="shared" si="13"/>
        <v>233.75</v>
      </c>
      <c r="F54" s="6">
        <f t="shared" si="11"/>
        <v>128562.5</v>
      </c>
      <c r="G54" s="7">
        <f t="shared" si="3"/>
        <v>174307.375</v>
      </c>
      <c r="H54" s="6">
        <f t="shared" si="4"/>
        <v>240.84394904458597</v>
      </c>
      <c r="I54" s="6">
        <f>SQRT((G54*2)/'Acceleration Inputs'!$C$8)</f>
        <v>19.603010965792986</v>
      </c>
      <c r="J54" s="6">
        <f t="shared" si="12"/>
        <v>43.832332519513123</v>
      </c>
      <c r="K54" s="5">
        <f>AVERAGE($J$4:J54)</f>
        <v>29.626967214202789</v>
      </c>
      <c r="L54" s="16">
        <f>(60*B54/'AR5 Gear Ratios'!$D$2)*(('AR5 Gear Ratios'!$B$12*3.14)/63360)</f>
        <v>28.478446436192911</v>
      </c>
      <c r="M54" s="6">
        <f t="shared" si="14"/>
        <v>17.692276251502872</v>
      </c>
      <c r="N54" s="6">
        <f>$H54*'AR5 Gear Ratios'!$D$2/('AR5 Gear Ratios'!$B$12/24)</f>
        <v>3077.9856687898086</v>
      </c>
      <c r="O54" s="16">
        <f>(60*B54/'AR5 Gear Ratios'!$D$3)*(('AR5 Gear Ratios'!$B$12*3.14)/63360)</f>
        <v>47.25405935209001</v>
      </c>
      <c r="P54" s="6">
        <f t="shared" si="15"/>
        <v>48.711260628623833</v>
      </c>
      <c r="Q54" s="6">
        <f>$H54*'AR5 Gear Ratios'!$D$3/('AR5 Gear Ratios'!$B$12/24)</f>
        <v>1854.9993630573244</v>
      </c>
      <c r="R54" s="16">
        <f>(60*B54/'AR5 Gear Ratios'!$D$4)*(('AR5 Gear Ratios'!$B$12*3.14)/63360)</f>
        <v>77.951951923885716</v>
      </c>
      <c r="S54" s="6">
        <f t="shared" si="16"/>
        <v>132.55774670294591</v>
      </c>
      <c r="T54" s="6">
        <f>$H54*'AR5 Gear Ratios'!$D$4/('AR5 Gear Ratios'!$B$12/24)</f>
        <v>1124.4907643312101</v>
      </c>
      <c r="U54" s="16">
        <f>(60*B54/'AR5 Gear Ratios'!$D$5)*(('AR5 Gear Ratios'!$B$12*3.14)/63360)</f>
        <v>106.79417413572344</v>
      </c>
      <c r="V54" s="6">
        <f t="shared" si="17"/>
        <v>248.79763478675918</v>
      </c>
      <c r="W54" s="6">
        <f>$H54*'AR5 Gear Ratios'!$D$5/('AR5 Gear Ratios'!$B$12/24)</f>
        <v>820.7961783439489</v>
      </c>
      <c r="X54" s="16">
        <f>(60*B54/'AR5 Gear Ratios'!$D$6)*(('AR5 Gear Ratios'!$B$12*3.14)/63360)</f>
        <v>146.29338922701839</v>
      </c>
      <c r="Y54" s="6">
        <f t="shared" si="18"/>
        <v>466.87490108230276</v>
      </c>
      <c r="Z54" s="6">
        <f>$H54*'AR5 Gear Ratios'!$D$6/('AR5 Gear Ratios'!$B$12/24)</f>
        <v>599.18121019108276</v>
      </c>
      <c r="AA54" s="16" t="e">
        <f>(60*B54/'AR5 Gear Ratios'!$D$7)*(('AR5 Gear Ratios'!$B$12*3.14)/63360)</f>
        <v>#DIV/0!</v>
      </c>
      <c r="AB54" s="6" t="e">
        <f t="shared" si="19"/>
        <v>#DIV/0!</v>
      </c>
      <c r="AC54" s="6">
        <f>$H54*'AR5 Gear Ratios'!$D$7/('AR5 Gear Ratios'!$B$12/24)</f>
        <v>0</v>
      </c>
    </row>
    <row r="55" spans="1:29" x14ac:dyDescent="0.3">
      <c r="A55" s="2">
        <v>52</v>
      </c>
      <c r="B55" s="2">
        <v>5200</v>
      </c>
      <c r="C55" s="6">
        <f t="shared" si="0"/>
        <v>86.666666666666671</v>
      </c>
      <c r="D55" s="6">
        <f t="shared" si="1"/>
        <v>544.26666666666677</v>
      </c>
      <c r="E55" s="6">
        <f t="shared" si="13"/>
        <v>238.33333333333334</v>
      </c>
      <c r="F55" s="6">
        <f t="shared" si="11"/>
        <v>131083.33333333334</v>
      </c>
      <c r="G55" s="7">
        <f t="shared" si="3"/>
        <v>177725.16666666669</v>
      </c>
      <c r="H55" s="6">
        <f t="shared" si="4"/>
        <v>240.84394904458597</v>
      </c>
      <c r="I55" s="6">
        <f>SQRT((G55*2)/'Acceleration Inputs'!$C$8)</f>
        <v>19.794264382222782</v>
      </c>
      <c r="J55" s="6">
        <f t="shared" si="12"/>
        <v>44.259975158650143</v>
      </c>
      <c r="K55" s="5">
        <f>AVERAGE($J$4:J55)</f>
        <v>29.908371213134469</v>
      </c>
      <c r="L55" s="16">
        <f>(60*B55/'AR5 Gear Ratios'!$D$2)*(('AR5 Gear Ratios'!$B$12*3.14)/63360)</f>
        <v>29.036847346706502</v>
      </c>
      <c r="M55" s="6">
        <f t="shared" si="14"/>
        <v>18.392893111904566</v>
      </c>
      <c r="N55" s="6">
        <f>$H55*'AR5 Gear Ratios'!$D$2/('AR5 Gear Ratios'!$B$12/24)</f>
        <v>3077.9856687898086</v>
      </c>
      <c r="O55" s="16">
        <f>(60*B55/'AR5 Gear Ratios'!$D$3)*(('AR5 Gear Ratios'!$B$12*3.14)/63360)</f>
        <v>48.180609535464328</v>
      </c>
      <c r="P55" s="6">
        <f t="shared" si="15"/>
        <v>50.640234040676248</v>
      </c>
      <c r="Q55" s="6">
        <f>$H55*'AR5 Gear Ratios'!$D$3/('AR5 Gear Ratios'!$B$12/24)</f>
        <v>1854.9993630573244</v>
      </c>
      <c r="R55" s="16">
        <f>(60*B55/'AR5 Gear Ratios'!$D$4)*(('AR5 Gear Ratios'!$B$12*3.14)/63360)</f>
        <v>79.480421569452091</v>
      </c>
      <c r="S55" s="6">
        <f t="shared" si="16"/>
        <v>137.80705385804137</v>
      </c>
      <c r="T55" s="6">
        <f>$H55*'AR5 Gear Ratios'!$D$4/('AR5 Gear Ratios'!$B$12/24)</f>
        <v>1124.4907643312101</v>
      </c>
      <c r="U55" s="16">
        <f>(60*B55/'AR5 Gear Ratios'!$D$5)*(('AR5 Gear Ratios'!$B$12*3.14)/63360)</f>
        <v>108.88817755014938</v>
      </c>
      <c r="V55" s="6">
        <f t="shared" si="17"/>
        <v>258.65005938615792</v>
      </c>
      <c r="W55" s="6">
        <f>$H55*'AR5 Gear Ratios'!$D$5/('AR5 Gear Ratios'!$B$12/24)</f>
        <v>820.7961783439489</v>
      </c>
      <c r="X55" s="16">
        <f>(60*B55/'AR5 Gear Ratios'!$D$6)*(('AR5 Gear Ratios'!$B$12*3.14)/63360)</f>
        <v>149.16188705499914</v>
      </c>
      <c r="Y55" s="6">
        <f t="shared" si="18"/>
        <v>485.36321896445463</v>
      </c>
      <c r="Z55" s="6">
        <f>$H55*'AR5 Gear Ratios'!$D$6/('AR5 Gear Ratios'!$B$12/24)</f>
        <v>599.18121019108276</v>
      </c>
      <c r="AA55" s="16" t="e">
        <f>(60*B55/'AR5 Gear Ratios'!$D$7)*(('AR5 Gear Ratios'!$B$12*3.14)/63360)</f>
        <v>#DIV/0!</v>
      </c>
      <c r="AB55" s="6" t="e">
        <f t="shared" si="19"/>
        <v>#DIV/0!</v>
      </c>
      <c r="AC55" s="6">
        <f>$H55*'AR5 Gear Ratios'!$D$7/('AR5 Gear Ratios'!$B$12/24)</f>
        <v>0</v>
      </c>
    </row>
    <row r="56" spans="1:29" x14ac:dyDescent="0.3">
      <c r="A56" s="2">
        <v>53</v>
      </c>
      <c r="B56" s="2">
        <v>5300</v>
      </c>
      <c r="C56" s="6">
        <f t="shared" si="0"/>
        <v>88.333333333333329</v>
      </c>
      <c r="D56" s="6">
        <f t="shared" si="1"/>
        <v>554.73333333333335</v>
      </c>
      <c r="E56" s="6">
        <f t="shared" si="13"/>
        <v>242.91666666666666</v>
      </c>
      <c r="F56" s="6">
        <f t="shared" si="11"/>
        <v>133604.16666666666</v>
      </c>
      <c r="G56" s="7">
        <f t="shared" si="3"/>
        <v>181142.95833333334</v>
      </c>
      <c r="H56" s="6">
        <f t="shared" si="4"/>
        <v>240.84394904458597</v>
      </c>
      <c r="I56" s="6">
        <f>SQRT((G56*2)/'Acceleration Inputs'!$C$8)</f>
        <v>19.98368749609708</v>
      </c>
      <c r="J56" s="6">
        <f t="shared" si="12"/>
        <v>44.683525241273074</v>
      </c>
      <c r="K56" s="5">
        <f>AVERAGE($J$4:J56)</f>
        <v>30.187147704231428</v>
      </c>
      <c r="L56" s="16">
        <f>(60*B56/'AR5 Gear Ratios'!$D$2)*(('AR5 Gear Ratios'!$B$12*3.14)/63360)</f>
        <v>29.595248257220089</v>
      </c>
      <c r="M56" s="6">
        <f t="shared" si="14"/>
        <v>19.107114183187843</v>
      </c>
      <c r="N56" s="6">
        <f>$H56*'AR5 Gear Ratios'!$D$2/('AR5 Gear Ratios'!$B$12/24)</f>
        <v>3077.9856687898086</v>
      </c>
      <c r="O56" s="16">
        <f>(60*B56/'AR5 Gear Ratios'!$D$3)*(('AR5 Gear Ratios'!$B$12*3.14)/63360)</f>
        <v>49.107159718838645</v>
      </c>
      <c r="P56" s="6">
        <f t="shared" si="15"/>
        <v>52.606663247137426</v>
      </c>
      <c r="Q56" s="6">
        <f>$H56*'AR5 Gear Ratios'!$D$3/('AR5 Gear Ratios'!$B$12/24)</f>
        <v>1854.9993630573244</v>
      </c>
      <c r="R56" s="16">
        <f>(60*B56/'AR5 Gear Ratios'!$D$4)*(('AR5 Gear Ratios'!$B$12*3.14)/63360)</f>
        <v>81.00889121501848</v>
      </c>
      <c r="S56" s="6">
        <f t="shared" si="16"/>
        <v>143.1582893074106</v>
      </c>
      <c r="T56" s="6">
        <f>$H56*'AR5 Gear Ratios'!$D$4/('AR5 Gear Ratios'!$B$12/24)</f>
        <v>1124.4907643312101</v>
      </c>
      <c r="U56" s="16">
        <f>(60*B56/'AR5 Gear Ratios'!$D$5)*(('AR5 Gear Ratios'!$B$12*3.14)/63360)</f>
        <v>110.98218096457533</v>
      </c>
      <c r="V56" s="6">
        <f t="shared" si="17"/>
        <v>268.69379320107902</v>
      </c>
      <c r="W56" s="6">
        <f>$H56*'AR5 Gear Ratios'!$D$5/('AR5 Gear Ratios'!$B$12/24)</f>
        <v>820.7961783439489</v>
      </c>
      <c r="X56" s="16">
        <f>(60*B56/'AR5 Gear Ratios'!$D$6)*(('AR5 Gear Ratios'!$B$12*3.14)/63360)</f>
        <v>152.03038488297989</v>
      </c>
      <c r="Y56" s="6">
        <f t="shared" si="18"/>
        <v>504.21053331033784</v>
      </c>
      <c r="Z56" s="6">
        <f>$H56*'AR5 Gear Ratios'!$D$6/('AR5 Gear Ratios'!$B$12/24)</f>
        <v>599.18121019108276</v>
      </c>
      <c r="AA56" s="16" t="e">
        <f>(60*B56/'AR5 Gear Ratios'!$D$7)*(('AR5 Gear Ratios'!$B$12*3.14)/63360)</f>
        <v>#DIV/0!</v>
      </c>
      <c r="AB56" s="6" t="e">
        <f t="shared" si="19"/>
        <v>#DIV/0!</v>
      </c>
      <c r="AC56" s="6">
        <f>$H56*'AR5 Gear Ratios'!$D$7/('AR5 Gear Ratios'!$B$12/24)</f>
        <v>0</v>
      </c>
    </row>
    <row r="57" spans="1:29" x14ac:dyDescent="0.3">
      <c r="A57" s="2">
        <v>54</v>
      </c>
      <c r="B57" s="2">
        <v>5400</v>
      </c>
      <c r="C57" s="6">
        <f t="shared" si="0"/>
        <v>90</v>
      </c>
      <c r="D57" s="6">
        <f t="shared" si="1"/>
        <v>565.20000000000005</v>
      </c>
      <c r="E57" s="6">
        <f t="shared" si="13"/>
        <v>247.5</v>
      </c>
      <c r="F57" s="6">
        <f t="shared" si="11"/>
        <v>136125</v>
      </c>
      <c r="G57" s="7">
        <f t="shared" si="3"/>
        <v>184560.75</v>
      </c>
      <c r="H57" s="6">
        <f t="shared" si="4"/>
        <v>240.84394904458597</v>
      </c>
      <c r="I57" s="6">
        <f>SQRT((G57*2)/'Acceleration Inputs'!$C$8)</f>
        <v>20.171331870999495</v>
      </c>
      <c r="J57" s="6">
        <f t="shared" si="12"/>
        <v>45.103098063554874</v>
      </c>
      <c r="K57" s="5">
        <f>AVERAGE($J$4:J57)</f>
        <v>30.463369007181861</v>
      </c>
      <c r="L57" s="16">
        <f>(60*B57/'AR5 Gear Ratios'!$D$2)*(('AR5 Gear Ratios'!$B$12*3.14)/63360)</f>
        <v>30.153649167733672</v>
      </c>
      <c r="M57" s="6">
        <f t="shared" si="14"/>
        <v>19.834939465352704</v>
      </c>
      <c r="N57" s="6">
        <f>$H57*'AR5 Gear Ratios'!$D$2/('AR5 Gear Ratios'!$B$12/24)</f>
        <v>3077.9856687898086</v>
      </c>
      <c r="O57" s="16">
        <f>(60*B57/'AR5 Gear Ratios'!$D$3)*(('AR5 Gear Ratios'!$B$12*3.14)/63360)</f>
        <v>50.033709902212955</v>
      </c>
      <c r="P57" s="6">
        <f t="shared" si="15"/>
        <v>54.610548248007362</v>
      </c>
      <c r="Q57" s="6">
        <f>$H57*'AR5 Gear Ratios'!$D$3/('AR5 Gear Ratios'!$B$12/24)</f>
        <v>1854.9993630573244</v>
      </c>
      <c r="R57" s="16">
        <f>(60*B57/'AR5 Gear Ratios'!$D$4)*(('AR5 Gear Ratios'!$B$12*3.14)/63360)</f>
        <v>82.537360860584869</v>
      </c>
      <c r="S57" s="6">
        <f t="shared" si="16"/>
        <v>148.6114530510535</v>
      </c>
      <c r="T57" s="6">
        <f>$H57*'AR5 Gear Ratios'!$D$4/('AR5 Gear Ratios'!$B$12/24)</f>
        <v>1124.4907643312101</v>
      </c>
      <c r="U57" s="16">
        <f>(60*B57/'AR5 Gear Ratios'!$D$5)*(('AR5 Gear Ratios'!$B$12*3.14)/63360)</f>
        <v>113.07618437900129</v>
      </c>
      <c r="V57" s="6">
        <f t="shared" si="17"/>
        <v>278.92883623152244</v>
      </c>
      <c r="W57" s="6">
        <f>$H57*'AR5 Gear Ratios'!$D$5/('AR5 Gear Ratios'!$B$12/24)</f>
        <v>820.7961783439489</v>
      </c>
      <c r="X57" s="16">
        <f>(60*B57/'AR5 Gear Ratios'!$D$6)*(('AR5 Gear Ratios'!$B$12*3.14)/63360)</f>
        <v>154.89888271096066</v>
      </c>
      <c r="Y57" s="6">
        <f t="shared" si="18"/>
        <v>523.41684411995197</v>
      </c>
      <c r="Z57" s="6">
        <f>$H57*'AR5 Gear Ratios'!$D$6/('AR5 Gear Ratios'!$B$12/24)</f>
        <v>599.18121019108276</v>
      </c>
      <c r="AA57" s="16" t="e">
        <f>(60*B57/'AR5 Gear Ratios'!$D$7)*(('AR5 Gear Ratios'!$B$12*3.14)/63360)</f>
        <v>#DIV/0!</v>
      </c>
      <c r="AB57" s="6" t="e">
        <f t="shared" si="19"/>
        <v>#DIV/0!</v>
      </c>
      <c r="AC57" s="6">
        <f>$H57*'AR5 Gear Ratios'!$D$7/('AR5 Gear Ratios'!$B$12/24)</f>
        <v>0</v>
      </c>
    </row>
    <row r="58" spans="1:29" x14ac:dyDescent="0.3">
      <c r="A58" s="2">
        <v>55</v>
      </c>
      <c r="B58" s="2">
        <v>5500</v>
      </c>
      <c r="C58" s="6">
        <f t="shared" si="0"/>
        <v>91.666666666666671</v>
      </c>
      <c r="D58" s="6">
        <f t="shared" si="1"/>
        <v>575.66666666666674</v>
      </c>
      <c r="E58" s="6">
        <f t="shared" si="13"/>
        <v>252.08333333333331</v>
      </c>
      <c r="F58" s="6">
        <f t="shared" si="11"/>
        <v>138645.83333333331</v>
      </c>
      <c r="G58" s="7">
        <f t="shared" si="3"/>
        <v>187978.54166666666</v>
      </c>
      <c r="H58" s="6">
        <f t="shared" si="4"/>
        <v>240.84394904458591</v>
      </c>
      <c r="I58" s="6">
        <f>SQRT((G58*2)/'Acceleration Inputs'!$C$8)</f>
        <v>20.357246693949882</v>
      </c>
      <c r="J58" s="6">
        <f t="shared" si="12"/>
        <v>45.518803607671941</v>
      </c>
      <c r="K58" s="5">
        <f>AVERAGE($J$4:J58)</f>
        <v>30.737104181736228</v>
      </c>
      <c r="L58" s="16">
        <f>(60*B58/'AR5 Gear Ratios'!$D$2)*(('AR5 Gear Ratios'!$B$12*3.14)/63360)</f>
        <v>30.712050078247263</v>
      </c>
      <c r="M58" s="6">
        <f t="shared" si="14"/>
        <v>20.576368958399154</v>
      </c>
      <c r="N58" s="6">
        <f>$H58*'AR5 Gear Ratios'!$D$2/('AR5 Gear Ratios'!$B$12/24)</f>
        <v>3077.9856687898077</v>
      </c>
      <c r="O58" s="16">
        <f>(60*B58/'AR5 Gear Ratios'!$D$3)*(('AR5 Gear Ratios'!$B$12*3.14)/63360)</f>
        <v>50.960260085587272</v>
      </c>
      <c r="P58" s="6">
        <f t="shared" si="15"/>
        <v>56.651889043286111</v>
      </c>
      <c r="Q58" s="6">
        <f>$H58*'AR5 Gear Ratios'!$D$3/('AR5 Gear Ratios'!$B$12/24)</f>
        <v>1854.999363057324</v>
      </c>
      <c r="R58" s="16">
        <f>(60*B58/'AR5 Gear Ratios'!$D$4)*(('AR5 Gear Ratios'!$B$12*3.14)/63360)</f>
        <v>84.065830506151258</v>
      </c>
      <c r="S58" s="6">
        <f t="shared" si="16"/>
        <v>154.16654508897014</v>
      </c>
      <c r="T58" s="6">
        <f>$H58*'AR5 Gear Ratios'!$D$4/('AR5 Gear Ratios'!$B$12/24)</f>
        <v>1124.4907643312097</v>
      </c>
      <c r="U58" s="16">
        <f>(60*B58/'AR5 Gear Ratios'!$D$5)*(('AR5 Gear Ratios'!$B$12*3.14)/63360)</f>
        <v>115.17018779342723</v>
      </c>
      <c r="V58" s="6">
        <f t="shared" si="17"/>
        <v>289.35518847748807</v>
      </c>
      <c r="W58" s="6">
        <f>$H58*'AR5 Gear Ratios'!$D$5/('AR5 Gear Ratios'!$B$12/24)</f>
        <v>820.79617834394867</v>
      </c>
      <c r="X58" s="16">
        <f>(60*B58/'AR5 Gear Ratios'!$D$6)*(('AR5 Gear Ratios'!$B$12*3.14)/63360)</f>
        <v>157.76738053894141</v>
      </c>
      <c r="Y58" s="6">
        <f t="shared" si="18"/>
        <v>542.98215139329727</v>
      </c>
      <c r="Z58" s="6">
        <f>$H58*'AR5 Gear Ratios'!$D$6/('AR5 Gear Ratios'!$B$12/24)</f>
        <v>599.18121019108253</v>
      </c>
      <c r="AA58" s="16" t="e">
        <f>(60*B58/'AR5 Gear Ratios'!$D$7)*(('AR5 Gear Ratios'!$B$12*3.14)/63360)</f>
        <v>#DIV/0!</v>
      </c>
      <c r="AB58" s="6" t="e">
        <f t="shared" si="19"/>
        <v>#DIV/0!</v>
      </c>
      <c r="AC58" s="6">
        <f>$H58*'AR5 Gear Ratios'!$D$7/('AR5 Gear Ratios'!$B$12/24)</f>
        <v>0</v>
      </c>
    </row>
    <row r="59" spans="1:29" x14ac:dyDescent="0.3">
      <c r="A59" s="2">
        <v>56</v>
      </c>
      <c r="B59" s="2">
        <v>5600</v>
      </c>
      <c r="C59" s="6">
        <f t="shared" si="0"/>
        <v>93.333333333333329</v>
      </c>
      <c r="D59" s="6">
        <f t="shared" si="1"/>
        <v>586.13333333333333</v>
      </c>
      <c r="E59" s="6">
        <f t="shared" si="13"/>
        <v>256.66666666666669</v>
      </c>
      <c r="F59" s="6">
        <f t="shared" si="11"/>
        <v>141166.66666666669</v>
      </c>
      <c r="G59" s="7">
        <f t="shared" si="3"/>
        <v>191396.33333333337</v>
      </c>
      <c r="H59" s="6">
        <f t="shared" si="4"/>
        <v>240.84394904458603</v>
      </c>
      <c r="I59" s="6">
        <f>SQRT((G59*2)/'Acceleration Inputs'!$C$8)</f>
        <v>20.541478925984535</v>
      </c>
      <c r="J59" s="6">
        <f t="shared" si="12"/>
        <v>45.930746878501424</v>
      </c>
      <c r="K59" s="5">
        <f>AVERAGE($J$4:J59)</f>
        <v>31.008419229892748</v>
      </c>
      <c r="L59" s="16">
        <f>(60*B59/'AR5 Gear Ratios'!$D$2)*(('AR5 Gear Ratios'!$B$12*3.14)/63360)</f>
        <v>31.270450988760846</v>
      </c>
      <c r="M59" s="6">
        <f t="shared" si="14"/>
        <v>21.331402662327179</v>
      </c>
      <c r="N59" s="6">
        <f>$H59*'AR5 Gear Ratios'!$D$2/('AR5 Gear Ratios'!$B$12/24)</f>
        <v>3077.9856687898091</v>
      </c>
      <c r="O59" s="16">
        <f>(60*B59/'AR5 Gear Ratios'!$D$3)*(('AR5 Gear Ratios'!$B$12*3.14)/63360)</f>
        <v>51.886810268961582</v>
      </c>
      <c r="P59" s="6">
        <f t="shared" si="15"/>
        <v>58.730685632973618</v>
      </c>
      <c r="Q59" s="6">
        <f>$H59*'AR5 Gear Ratios'!$D$3/('AR5 Gear Ratios'!$B$12/24)</f>
        <v>1854.9993630573249</v>
      </c>
      <c r="R59" s="16">
        <f>(60*B59/'AR5 Gear Ratios'!$D$4)*(('AR5 Gear Ratios'!$B$12*3.14)/63360)</f>
        <v>85.594300151717647</v>
      </c>
      <c r="S59" s="6">
        <f t="shared" si="16"/>
        <v>159.82356542116048</v>
      </c>
      <c r="T59" s="6">
        <f>$H59*'AR5 Gear Ratios'!$D$4/('AR5 Gear Ratios'!$B$12/24)</f>
        <v>1124.4907643312104</v>
      </c>
      <c r="U59" s="16">
        <f>(60*B59/'AR5 Gear Ratios'!$D$5)*(('AR5 Gear Ratios'!$B$12*3.14)/63360)</f>
        <v>117.26419120785317</v>
      </c>
      <c r="V59" s="6">
        <f t="shared" si="17"/>
        <v>299.97284993897608</v>
      </c>
      <c r="W59" s="6">
        <f>$H59*'AR5 Gear Ratios'!$D$5/('AR5 Gear Ratios'!$B$12/24)</f>
        <v>820.79617834394912</v>
      </c>
      <c r="X59" s="16">
        <f>(60*B59/'AR5 Gear Ratios'!$D$6)*(('AR5 Gear Ratios'!$B$12*3.14)/63360)</f>
        <v>160.63587836692216</v>
      </c>
      <c r="Y59" s="6">
        <f t="shared" si="18"/>
        <v>562.9064551303735</v>
      </c>
      <c r="Z59" s="6">
        <f>$H59*'AR5 Gear Ratios'!$D$6/('AR5 Gear Ratios'!$B$12/24)</f>
        <v>599.18121019108287</v>
      </c>
      <c r="AA59" s="16" t="e">
        <f>(60*B59/'AR5 Gear Ratios'!$D$7)*(('AR5 Gear Ratios'!$B$12*3.14)/63360)</f>
        <v>#DIV/0!</v>
      </c>
      <c r="AB59" s="6" t="e">
        <f t="shared" si="19"/>
        <v>#DIV/0!</v>
      </c>
      <c r="AC59" s="6">
        <f>$H59*'AR5 Gear Ratios'!$D$7/('AR5 Gear Ratios'!$B$12/24)</f>
        <v>0</v>
      </c>
    </row>
    <row r="60" spans="1:29" x14ac:dyDescent="0.3">
      <c r="A60" s="2">
        <v>57</v>
      </c>
      <c r="B60" s="2">
        <v>5700</v>
      </c>
      <c r="C60" s="6">
        <f t="shared" si="0"/>
        <v>95</v>
      </c>
      <c r="D60" s="6">
        <f t="shared" si="1"/>
        <v>596.6</v>
      </c>
      <c r="E60" s="6">
        <f t="shared" si="13"/>
        <v>261.25</v>
      </c>
      <c r="F60" s="6">
        <f t="shared" si="11"/>
        <v>143687.5</v>
      </c>
      <c r="G60" s="7">
        <f t="shared" si="3"/>
        <v>194814.125</v>
      </c>
      <c r="H60" s="6">
        <f t="shared" si="4"/>
        <v>240.84394904458597</v>
      </c>
      <c r="I60" s="6">
        <f>SQRT((G60*2)/'Acceleration Inputs'!$C$8)</f>
        <v>20.724073440687281</v>
      </c>
      <c r="J60" s="6">
        <f t="shared" si="12"/>
        <v>46.339028213376764</v>
      </c>
      <c r="K60" s="5">
        <f>AVERAGE($J$4:J60)</f>
        <v>31.277377282234571</v>
      </c>
      <c r="L60" s="16">
        <f>(60*B60/'AR5 Gear Ratios'!$D$2)*(('AR5 Gear Ratios'!$B$12*3.14)/63360)</f>
        <v>31.828851899274433</v>
      </c>
      <c r="M60" s="6">
        <f t="shared" si="14"/>
        <v>22.100040577136809</v>
      </c>
      <c r="N60" s="6">
        <f>$H60*'AR5 Gear Ratios'!$D$2/('AR5 Gear Ratios'!$B$12/24)</f>
        <v>3077.9856687898086</v>
      </c>
      <c r="O60" s="16">
        <f>(60*B60/'AR5 Gear Ratios'!$D$3)*(('AR5 Gear Ratios'!$B$12*3.14)/63360)</f>
        <v>52.8133604523359</v>
      </c>
      <c r="P60" s="6">
        <f t="shared" si="15"/>
        <v>60.846938017069945</v>
      </c>
      <c r="Q60" s="6">
        <f>$H60*'AR5 Gear Ratios'!$D$3/('AR5 Gear Ratios'!$B$12/24)</f>
        <v>1854.9993630573244</v>
      </c>
      <c r="R60" s="16">
        <f>(60*B60/'AR5 Gear Ratios'!$D$4)*(('AR5 Gear Ratios'!$B$12*3.14)/63360)</f>
        <v>87.122769797284036</v>
      </c>
      <c r="S60" s="6">
        <f t="shared" si="16"/>
        <v>165.58251404762447</v>
      </c>
      <c r="T60" s="6">
        <f>$H60*'AR5 Gear Ratios'!$D$4/('AR5 Gear Ratios'!$B$12/24)</f>
        <v>1124.4907643312101</v>
      </c>
      <c r="U60" s="16">
        <f>(60*B60/'AR5 Gear Ratios'!$D$5)*(('AR5 Gear Ratios'!$B$12*3.14)/63360)</f>
        <v>119.35819462227913</v>
      </c>
      <c r="V60" s="6">
        <f t="shared" si="17"/>
        <v>310.78182061598636</v>
      </c>
      <c r="W60" s="6">
        <f>$H60*'AR5 Gear Ratios'!$D$5/('AR5 Gear Ratios'!$B$12/24)</f>
        <v>820.7961783439489</v>
      </c>
      <c r="X60" s="16">
        <f>(60*B60/'AR5 Gear Ratios'!$D$6)*(('AR5 Gear Ratios'!$B$12*3.14)/63360)</f>
        <v>163.50437619490293</v>
      </c>
      <c r="Y60" s="6">
        <f t="shared" si="18"/>
        <v>583.18975533118123</v>
      </c>
      <c r="Z60" s="6">
        <f>$H60*'AR5 Gear Ratios'!$D$6/('AR5 Gear Ratios'!$B$12/24)</f>
        <v>599.18121019108276</v>
      </c>
      <c r="AA60" s="16" t="e">
        <f>(60*B60/'AR5 Gear Ratios'!$D$7)*(('AR5 Gear Ratios'!$B$12*3.14)/63360)</f>
        <v>#DIV/0!</v>
      </c>
      <c r="AB60" s="6" t="e">
        <f t="shared" si="19"/>
        <v>#DIV/0!</v>
      </c>
      <c r="AC60" s="6">
        <f>$H60*'AR5 Gear Ratios'!$D$7/('AR5 Gear Ratios'!$B$12/24)</f>
        <v>0</v>
      </c>
    </row>
    <row r="61" spans="1:29" x14ac:dyDescent="0.3">
      <c r="A61" s="2">
        <v>58</v>
      </c>
      <c r="B61" s="2">
        <v>5800</v>
      </c>
      <c r="C61" s="6">
        <f t="shared" si="0"/>
        <v>96.666666666666671</v>
      </c>
      <c r="D61" s="6">
        <f t="shared" si="1"/>
        <v>607.06666666666672</v>
      </c>
      <c r="E61" s="6">
        <f t="shared" si="13"/>
        <v>265.83333333333331</v>
      </c>
      <c r="F61" s="6">
        <f t="shared" si="11"/>
        <v>146208.33333333331</v>
      </c>
      <c r="G61" s="7">
        <f t="shared" si="3"/>
        <v>198231.91666666666</v>
      </c>
      <c r="H61" s="6">
        <f t="shared" si="4"/>
        <v>240.84394904458594</v>
      </c>
      <c r="I61" s="6">
        <f>SQRT((G61*2)/'Acceleration Inputs'!$C$8)</f>
        <v>20.905073151829278</v>
      </c>
      <c r="J61" s="6">
        <f t="shared" si="12"/>
        <v>46.74374356749027</v>
      </c>
      <c r="K61" s="5">
        <f>AVERAGE($J$4:J61)</f>
        <v>31.544038769911396</v>
      </c>
      <c r="L61" s="16">
        <f>(60*B61/'AR5 Gear Ratios'!$D$2)*(('AR5 Gear Ratios'!$B$12*3.14)/63360)</f>
        <v>32.387252809788023</v>
      </c>
      <c r="M61" s="6">
        <f t="shared" si="14"/>
        <v>22.882282702828025</v>
      </c>
      <c r="N61" s="6">
        <f>$H61*'AR5 Gear Ratios'!$D$2/('AR5 Gear Ratios'!$B$12/24)</f>
        <v>3077.9856687898082</v>
      </c>
      <c r="O61" s="16">
        <f>(60*B61/'AR5 Gear Ratios'!$D$3)*(('AR5 Gear Ratios'!$B$12*3.14)/63360)</f>
        <v>53.739910635710217</v>
      </c>
      <c r="P61" s="6">
        <f t="shared" si="15"/>
        <v>63.000646195575037</v>
      </c>
      <c r="Q61" s="6">
        <f>$H61*'AR5 Gear Ratios'!$D$3/('AR5 Gear Ratios'!$B$12/24)</f>
        <v>1854.9993630573242</v>
      </c>
      <c r="R61" s="16">
        <f>(60*B61/'AR5 Gear Ratios'!$D$4)*(('AR5 Gear Ratios'!$B$12*3.14)/63360)</f>
        <v>88.651239442850411</v>
      </c>
      <c r="S61" s="6">
        <f t="shared" si="16"/>
        <v>171.44339096836214</v>
      </c>
      <c r="T61" s="6">
        <f>$H61*'AR5 Gear Ratios'!$D$4/('AR5 Gear Ratios'!$B$12/24)</f>
        <v>1124.4907643312099</v>
      </c>
      <c r="U61" s="16">
        <f>(60*B61/'AR5 Gear Ratios'!$D$5)*(('AR5 Gear Ratios'!$B$12*3.14)/63360)</f>
        <v>121.45219803670508</v>
      </c>
      <c r="V61" s="6">
        <f t="shared" si="17"/>
        <v>321.78210050851902</v>
      </c>
      <c r="W61" s="6">
        <f>$H61*'AR5 Gear Ratios'!$D$5/('AR5 Gear Ratios'!$B$12/24)</f>
        <v>820.79617834394878</v>
      </c>
      <c r="X61" s="16">
        <f>(60*B61/'AR5 Gear Ratios'!$D$6)*(('AR5 Gear Ratios'!$B$12*3.14)/63360)</f>
        <v>166.37287402288368</v>
      </c>
      <c r="Y61" s="6">
        <f t="shared" si="18"/>
        <v>603.83205199571967</v>
      </c>
      <c r="Z61" s="6">
        <f>$H61*'AR5 Gear Ratios'!$D$6/('AR5 Gear Ratios'!$B$12/24)</f>
        <v>599.18121019108264</v>
      </c>
      <c r="AA61" s="16" t="e">
        <f>(60*B61/'AR5 Gear Ratios'!$D$7)*(('AR5 Gear Ratios'!$B$12*3.14)/63360)</f>
        <v>#DIV/0!</v>
      </c>
      <c r="AB61" s="6" t="e">
        <f t="shared" si="19"/>
        <v>#DIV/0!</v>
      </c>
      <c r="AC61" s="6">
        <f>$H61*'AR5 Gear Ratios'!$D$7/('AR5 Gear Ratios'!$B$12/24)</f>
        <v>0</v>
      </c>
    </row>
    <row r="62" spans="1:29" x14ac:dyDescent="0.3">
      <c r="A62" s="2">
        <v>59</v>
      </c>
      <c r="B62" s="2">
        <v>5900</v>
      </c>
      <c r="C62" s="6">
        <f t="shared" si="0"/>
        <v>98.333333333333329</v>
      </c>
      <c r="D62" s="6">
        <f t="shared" si="1"/>
        <v>617.5333333333333</v>
      </c>
      <c r="E62" s="6">
        <f t="shared" si="13"/>
        <v>270.41666666666663</v>
      </c>
      <c r="F62" s="6">
        <f t="shared" si="11"/>
        <v>148729.16666666666</v>
      </c>
      <c r="G62" s="7">
        <f t="shared" si="3"/>
        <v>201649.70833333331</v>
      </c>
      <c r="H62" s="6">
        <f t="shared" si="4"/>
        <v>240.843949044586</v>
      </c>
      <c r="I62" s="6">
        <f>SQRT((G62*2)/'Acceleration Inputs'!$C$8)</f>
        <v>21.08451913114612</v>
      </c>
      <c r="J62" s="6">
        <f t="shared" si="12"/>
        <v>47.144984777242726</v>
      </c>
      <c r="K62" s="5">
        <f>AVERAGE($J$4:J62)</f>
        <v>31.80846158359498</v>
      </c>
      <c r="L62" s="16">
        <f>(60*B62/'AR5 Gear Ratios'!$D$2)*(('AR5 Gear Ratios'!$B$12*3.14)/63360)</f>
        <v>32.945653720301607</v>
      </c>
      <c r="M62" s="6">
        <f t="shared" si="14"/>
        <v>23.678129039400812</v>
      </c>
      <c r="N62" s="6">
        <f>$H62*'AR5 Gear Ratios'!$D$2/('AR5 Gear Ratios'!$B$12/24)</f>
        <v>3077.9856687898086</v>
      </c>
      <c r="O62" s="16">
        <f>(60*B62/'AR5 Gear Ratios'!$D$3)*(('AR5 Gear Ratios'!$B$12*3.14)/63360)</f>
        <v>54.666460819084527</v>
      </c>
      <c r="P62" s="6">
        <f t="shared" si="15"/>
        <v>65.1918101684889</v>
      </c>
      <c r="Q62" s="6">
        <f>$H62*'AR5 Gear Ratios'!$D$3/('AR5 Gear Ratios'!$B$12/24)</f>
        <v>1854.9993630573247</v>
      </c>
      <c r="R62" s="16">
        <f>(60*B62/'AR5 Gear Ratios'!$D$4)*(('AR5 Gear Ratios'!$B$12*3.14)/63360)</f>
        <v>90.1797090884168</v>
      </c>
      <c r="S62" s="6">
        <f t="shared" si="16"/>
        <v>177.40619618337357</v>
      </c>
      <c r="T62" s="6">
        <f>$H62*'AR5 Gear Ratios'!$D$4/('AR5 Gear Ratios'!$B$12/24)</f>
        <v>1124.4907643312101</v>
      </c>
      <c r="U62" s="16">
        <f>(60*B62/'AR5 Gear Ratios'!$D$5)*(('AR5 Gear Ratios'!$B$12*3.14)/63360)</f>
        <v>123.54620145113103</v>
      </c>
      <c r="V62" s="6">
        <f t="shared" si="17"/>
        <v>332.97368961657384</v>
      </c>
      <c r="W62" s="6">
        <f>$H62*'AR5 Gear Ratios'!$D$5/('AR5 Gear Ratios'!$B$12/24)</f>
        <v>820.79617834394901</v>
      </c>
      <c r="X62" s="16">
        <f>(60*B62/'AR5 Gear Ratios'!$D$6)*(('AR5 Gear Ratios'!$B$12*3.14)/63360)</f>
        <v>169.24137185086443</v>
      </c>
      <c r="Y62" s="6">
        <f t="shared" si="18"/>
        <v>624.83334512398926</v>
      </c>
      <c r="Z62" s="6">
        <f>$H62*'AR5 Gear Ratios'!$D$6/('AR5 Gear Ratios'!$B$12/24)</f>
        <v>599.18121019108276</v>
      </c>
      <c r="AA62" s="16" t="e">
        <f>(60*B62/'AR5 Gear Ratios'!$D$7)*(('AR5 Gear Ratios'!$B$12*3.14)/63360)</f>
        <v>#DIV/0!</v>
      </c>
      <c r="AB62" s="6" t="e">
        <f t="shared" si="19"/>
        <v>#DIV/0!</v>
      </c>
      <c r="AC62" s="6">
        <f>$H62*'AR5 Gear Ratios'!$D$7/('AR5 Gear Ratios'!$B$12/24)</f>
        <v>0</v>
      </c>
    </row>
    <row r="63" spans="1:29" x14ac:dyDescent="0.3">
      <c r="A63" s="2">
        <v>60</v>
      </c>
      <c r="B63" s="2">
        <v>6000</v>
      </c>
      <c r="C63" s="6">
        <f t="shared" si="0"/>
        <v>100</v>
      </c>
      <c r="D63" s="6">
        <f t="shared" si="1"/>
        <v>628</v>
      </c>
      <c r="E63" s="6">
        <f t="shared" si="13"/>
        <v>275</v>
      </c>
      <c r="F63" s="6">
        <f t="shared" si="11"/>
        <v>151250</v>
      </c>
      <c r="G63" s="7">
        <f t="shared" si="3"/>
        <v>205067.5</v>
      </c>
      <c r="H63" s="6">
        <f t="shared" si="4"/>
        <v>240.843949044586</v>
      </c>
      <c r="I63" s="6">
        <f>SQRT((G63*2)/'Acceleration Inputs'!$C$8)</f>
        <v>21.262450717168047</v>
      </c>
      <c r="J63" s="6">
        <f t="shared" si="12"/>
        <v>47.542839803587761</v>
      </c>
      <c r="K63" s="5">
        <f>AVERAGE($J$4:J63)</f>
        <v>32.070701220594863</v>
      </c>
      <c r="L63" s="16">
        <f>(60*B63/'AR5 Gear Ratios'!$D$2)*(('AR5 Gear Ratios'!$B$12*3.14)/63360)</f>
        <v>33.50405463081519</v>
      </c>
      <c r="M63" s="6">
        <f t="shared" si="14"/>
        <v>24.487579586855187</v>
      </c>
      <c r="N63" s="6">
        <f>$H63*'AR5 Gear Ratios'!$D$2/('AR5 Gear Ratios'!$B$12/24)</f>
        <v>3077.9856687898086</v>
      </c>
      <c r="O63" s="16">
        <f>(60*B63/'AR5 Gear Ratios'!$D$3)*(('AR5 Gear Ratios'!$B$12*3.14)/63360)</f>
        <v>55.593011002458844</v>
      </c>
      <c r="P63" s="6">
        <f t="shared" si="15"/>
        <v>67.420429935811569</v>
      </c>
      <c r="Q63" s="6">
        <f>$H63*'AR5 Gear Ratios'!$D$3/('AR5 Gear Ratios'!$B$12/24)</f>
        <v>1854.9993630573247</v>
      </c>
      <c r="R63" s="16">
        <f>(60*B63/'AR5 Gear Ratios'!$D$4)*(('AR5 Gear Ratios'!$B$12*3.14)/63360)</f>
        <v>91.708178733983189</v>
      </c>
      <c r="S63" s="6">
        <f t="shared" si="16"/>
        <v>183.4709296926587</v>
      </c>
      <c r="T63" s="6">
        <f>$H63*'AR5 Gear Ratios'!$D$4/('AR5 Gear Ratios'!$B$12/24)</f>
        <v>1124.4907643312101</v>
      </c>
      <c r="U63" s="16">
        <f>(60*B63/'AR5 Gear Ratios'!$D$5)*(('AR5 Gear Ratios'!$B$12*3.14)/63360)</f>
        <v>125.64020486555698</v>
      </c>
      <c r="V63" s="6">
        <f t="shared" si="17"/>
        <v>344.35658794015114</v>
      </c>
      <c r="W63" s="6">
        <f>$H63*'AR5 Gear Ratios'!$D$5/('AR5 Gear Ratios'!$B$12/24)</f>
        <v>820.79617834394901</v>
      </c>
      <c r="X63" s="16">
        <f>(60*B63/'AR5 Gear Ratios'!$D$6)*(('AR5 Gear Ratios'!$B$12*3.14)/63360)</f>
        <v>172.10986967884517</v>
      </c>
      <c r="Y63" s="6">
        <f t="shared" si="18"/>
        <v>646.19363471599002</v>
      </c>
      <c r="Z63" s="6">
        <f>$H63*'AR5 Gear Ratios'!$D$6/('AR5 Gear Ratios'!$B$12/24)</f>
        <v>599.18121019108276</v>
      </c>
      <c r="AA63" s="16" t="e">
        <f>(60*B63/'AR5 Gear Ratios'!$D$7)*(('AR5 Gear Ratios'!$B$12*3.14)/63360)</f>
        <v>#DIV/0!</v>
      </c>
      <c r="AB63" s="6" t="e">
        <f t="shared" si="19"/>
        <v>#DIV/0!</v>
      </c>
      <c r="AC63" s="6">
        <f>$H63*'AR5 Gear Ratios'!$D$7/('AR5 Gear Ratios'!$B$12/24)</f>
        <v>0</v>
      </c>
    </row>
    <row r="64" spans="1:29" x14ac:dyDescent="0.3">
      <c r="A64" s="2">
        <v>61</v>
      </c>
      <c r="B64" s="2">
        <v>6100</v>
      </c>
      <c r="C64" s="6">
        <f t="shared" si="0"/>
        <v>101.66666666666667</v>
      </c>
      <c r="D64" s="6">
        <f t="shared" si="1"/>
        <v>638.4666666666667</v>
      </c>
      <c r="E64" s="6">
        <f>$E$63</f>
        <v>275</v>
      </c>
      <c r="F64" s="6">
        <f t="shared" si="11"/>
        <v>151250</v>
      </c>
      <c r="G64" s="7">
        <f t="shared" si="3"/>
        <v>205067.5</v>
      </c>
      <c r="H64" s="6">
        <f t="shared" si="4"/>
        <v>236.89568758483867</v>
      </c>
      <c r="I64" s="6">
        <f>SQRT((G64*2)/'Acceleration Inputs'!$C$8)</f>
        <v>21.262450717168047</v>
      </c>
      <c r="J64" s="6">
        <f t="shared" si="12"/>
        <v>47.542839803587761</v>
      </c>
      <c r="K64" s="5">
        <f>AVERAGE($J$4:J64)</f>
        <v>32.324342836709498</v>
      </c>
      <c r="L64" s="16">
        <f>(60*B64/'AR5 Gear Ratios'!$D$2)*(('AR5 Gear Ratios'!$B$12*3.14)/63360)</f>
        <v>34.062455541328781</v>
      </c>
      <c r="M64" s="6">
        <f t="shared" si="14"/>
        <v>25.310634345191161</v>
      </c>
      <c r="N64" s="6">
        <f>$H64*'AR5 Gear Ratios'!$D$2/('AR5 Gear Ratios'!$B$12/24)</f>
        <v>3027.5268873342379</v>
      </c>
      <c r="O64" s="16">
        <f>(60*B64/'AR5 Gear Ratios'!$D$3)*(('AR5 Gear Ratios'!$B$12*3.14)/63360)</f>
        <v>56.519561185833155</v>
      </c>
      <c r="P64" s="6">
        <f t="shared" si="15"/>
        <v>69.68650549754301</v>
      </c>
      <c r="Q64" s="6">
        <f>$H64*'AR5 Gear Ratios'!$D$3/('AR5 Gear Ratios'!$B$12/24)</f>
        <v>1824.5895374334341</v>
      </c>
      <c r="R64" s="16">
        <f>(60*B64/'AR5 Gear Ratios'!$D$4)*(('AR5 Gear Ratios'!$B$12*3.14)/63360)</f>
        <v>93.236648379549578</v>
      </c>
      <c r="S64" s="6">
        <f t="shared" si="16"/>
        <v>189.63759149621748</v>
      </c>
      <c r="T64" s="6">
        <f>$H64*'AR5 Gear Ratios'!$D$4/('AR5 Gear Ratios'!$B$12/24)</f>
        <v>1106.0564895061082</v>
      </c>
      <c r="U64" s="16">
        <f>(60*B64/'AR5 Gear Ratios'!$D$5)*(('AR5 Gear Ratios'!$B$12*3.14)/63360)</f>
        <v>127.73420827998294</v>
      </c>
      <c r="V64" s="6">
        <f t="shared" si="17"/>
        <v>355.93079547925072</v>
      </c>
      <c r="W64" s="6">
        <f>$H64*'AR5 Gear Ratios'!$D$5/('AR5 Gear Ratios'!$B$12/24)</f>
        <v>807.34050328913008</v>
      </c>
      <c r="X64" s="16">
        <f>(60*B64/'AR5 Gear Ratios'!$D$6)*(('AR5 Gear Ratios'!$B$12*3.14)/63360)</f>
        <v>174.97836750682592</v>
      </c>
      <c r="Y64" s="6">
        <f t="shared" si="18"/>
        <v>667.91292077172193</v>
      </c>
      <c r="Z64" s="6">
        <f>$H64*'AR5 Gear Ratios'!$D$6/('AR5 Gear Ratios'!$B$12/24)</f>
        <v>589.35856740106499</v>
      </c>
      <c r="AA64" s="16" t="e">
        <f>(60*B64/'AR5 Gear Ratios'!$D$7)*(('AR5 Gear Ratios'!$B$12*3.14)/63360)</f>
        <v>#DIV/0!</v>
      </c>
      <c r="AB64" s="6" t="e">
        <f t="shared" si="19"/>
        <v>#DIV/0!</v>
      </c>
      <c r="AC64" s="6">
        <f>$H64*'AR5 Gear Ratios'!$D$7/('AR5 Gear Ratios'!$B$12/24)</f>
        <v>0</v>
      </c>
    </row>
    <row r="65" spans="1:29" x14ac:dyDescent="0.3">
      <c r="A65" s="2">
        <v>62</v>
      </c>
      <c r="B65" s="2">
        <v>6200</v>
      </c>
      <c r="C65" s="6">
        <f t="shared" si="0"/>
        <v>103.33333333333333</v>
      </c>
      <c r="D65" s="6">
        <f t="shared" si="1"/>
        <v>648.93333333333328</v>
      </c>
      <c r="E65" s="6">
        <f>$E$63</f>
        <v>275</v>
      </c>
      <c r="F65" s="6">
        <f t="shared" si="11"/>
        <v>151250</v>
      </c>
      <c r="G65" s="7">
        <f t="shared" si="3"/>
        <v>205067.5</v>
      </c>
      <c r="H65" s="6">
        <f t="shared" si="4"/>
        <v>233.07478939798645</v>
      </c>
      <c r="I65" s="6">
        <f>SQRT((G65*2)/'Acceleration Inputs'!$C$8)</f>
        <v>21.262450717168047</v>
      </c>
      <c r="J65" s="6">
        <f t="shared" si="12"/>
        <v>47.542839803587761</v>
      </c>
      <c r="K65" s="5">
        <f>AVERAGE($J$4:J65)</f>
        <v>32.569802465207538</v>
      </c>
      <c r="L65" s="16">
        <f>(60*B65/'AR5 Gear Ratios'!$D$2)*(('AR5 Gear Ratios'!$B$12*3.14)/63360)</f>
        <v>34.620856451842364</v>
      </c>
      <c r="M65" s="6">
        <f t="shared" si="14"/>
        <v>26.147293314408699</v>
      </c>
      <c r="N65" s="6">
        <f>$H65*'AR5 Gear Ratios'!$D$2/('AR5 Gear Ratios'!$B$12/24)</f>
        <v>2978.6958085062665</v>
      </c>
      <c r="O65" s="16">
        <f>(60*B65/'AR5 Gear Ratios'!$D$3)*(('AR5 Gear Ratios'!$B$12*3.14)/63360)</f>
        <v>57.446111369207472</v>
      </c>
      <c r="P65" s="6">
        <f t="shared" si="15"/>
        <v>71.99003685368325</v>
      </c>
      <c r="Q65" s="6">
        <f>$H65*'AR5 Gear Ratios'!$D$3/('AR5 Gear Ratios'!$B$12/24)</f>
        <v>1795.1606739264432</v>
      </c>
      <c r="R65" s="16">
        <f>(60*B65/'AR5 Gear Ratios'!$D$4)*(('AR5 Gear Ratios'!$B$12*3.14)/63360)</f>
        <v>94.765118025115953</v>
      </c>
      <c r="S65" s="6">
        <f t="shared" si="16"/>
        <v>195.90618159404988</v>
      </c>
      <c r="T65" s="6">
        <f>$H65*'AR5 Gear Ratios'!$D$4/('AR5 Gear Ratios'!$B$12/24)</f>
        <v>1088.2168687076228</v>
      </c>
      <c r="U65" s="16">
        <f>(60*B65/'AR5 Gear Ratios'!$D$5)*(('AR5 Gear Ratios'!$B$12*3.14)/63360)</f>
        <v>129.82821169440888</v>
      </c>
      <c r="V65" s="6">
        <f t="shared" si="17"/>
        <v>367.6963122338725</v>
      </c>
      <c r="W65" s="6">
        <f>$H65*'AR5 Gear Ratios'!$D$5/('AR5 Gear Ratios'!$B$12/24)</f>
        <v>794.31888226833769</v>
      </c>
      <c r="X65" s="16">
        <f>(60*B65/'AR5 Gear Ratios'!$D$6)*(('AR5 Gear Ratios'!$B$12*3.14)/63360)</f>
        <v>177.84686533480669</v>
      </c>
      <c r="Y65" s="6">
        <f t="shared" si="18"/>
        <v>689.991203291185</v>
      </c>
      <c r="Z65" s="6">
        <f>$H65*'AR5 Gear Ratios'!$D$6/('AR5 Gear Ratios'!$B$12/24)</f>
        <v>579.85278405588656</v>
      </c>
      <c r="AA65" s="16" t="e">
        <f>(60*B65/'AR5 Gear Ratios'!$D$7)*(('AR5 Gear Ratios'!$B$12*3.14)/63360)</f>
        <v>#DIV/0!</v>
      </c>
      <c r="AB65" s="6" t="e">
        <f t="shared" si="19"/>
        <v>#DIV/0!</v>
      </c>
      <c r="AC65" s="6">
        <f>$H65*'AR5 Gear Ratios'!$D$7/('AR5 Gear Ratios'!$B$12/24)</f>
        <v>0</v>
      </c>
    </row>
    <row r="66" spans="1:29" s="11" customFormat="1" x14ac:dyDescent="0.3">
      <c r="A66" s="12">
        <v>63</v>
      </c>
      <c r="B66" s="12">
        <v>6300</v>
      </c>
      <c r="C66" s="9">
        <f t="shared" si="0"/>
        <v>105</v>
      </c>
      <c r="D66" s="9">
        <f t="shared" si="1"/>
        <v>659.4</v>
      </c>
      <c r="E66" s="9">
        <f>$E$63</f>
        <v>275</v>
      </c>
      <c r="F66" s="9">
        <f t="shared" si="11"/>
        <v>151250</v>
      </c>
      <c r="G66" s="13">
        <f t="shared" si="3"/>
        <v>205067.5</v>
      </c>
      <c r="H66" s="9">
        <f t="shared" si="4"/>
        <v>229.37518956627238</v>
      </c>
      <c r="I66" s="9">
        <f>SQRT((G66*2)/'Acceleration Inputs'!$C$8)</f>
        <v>21.262450717168047</v>
      </c>
      <c r="J66" s="9">
        <f t="shared" si="12"/>
        <v>47.542839803587761</v>
      </c>
      <c r="K66" s="14">
        <f>AVERAGE($J$4:J66)</f>
        <v>32.807469724546905</v>
      </c>
      <c r="L66" s="16">
        <f>(60*B66/'AR5 Gear Ratios'!$D$2)*(('AR5 Gear Ratios'!$B$12*3.14)/63360)</f>
        <v>35.179257362355955</v>
      </c>
      <c r="M66" s="9">
        <f t="shared" si="14"/>
        <v>26.997556494507847</v>
      </c>
      <c r="N66" s="9">
        <f>$H66*'AR5 Gear Ratios'!$D$2/('AR5 Gear Ratios'!$B$12/24)</f>
        <v>2931.4149226569607</v>
      </c>
      <c r="O66" s="16">
        <f>(60*B66/'AR5 Gear Ratios'!$D$3)*(('AR5 Gear Ratios'!$B$12*3.14)/63360)</f>
        <v>58.372661552581775</v>
      </c>
      <c r="P66" s="9">
        <f t="shared" si="15"/>
        <v>74.331024004232219</v>
      </c>
      <c r="Q66" s="9">
        <f>$H66*'AR5 Gear Ratios'!$D$3/('AR5 Gear Ratios'!$B$12/24)</f>
        <v>1766.6660600545949</v>
      </c>
      <c r="R66" s="16">
        <f>(60*B66/'AR5 Gear Ratios'!$D$4)*(('AR5 Gear Ratios'!$B$12*3.14)/63360)</f>
        <v>96.293587670682356</v>
      </c>
      <c r="S66" s="9">
        <f t="shared" si="16"/>
        <v>202.27669998615622</v>
      </c>
      <c r="T66" s="9">
        <f>$H66*'AR5 Gear Ratios'!$D$4/('AR5 Gear Ratios'!$B$12/24)</f>
        <v>1070.9435850773432</v>
      </c>
      <c r="U66" s="16">
        <f>(60*B66/'AR5 Gear Ratios'!$D$5)*(('AR5 Gear Ratios'!$B$12*3.14)/63360)</f>
        <v>131.92221510883482</v>
      </c>
      <c r="V66" s="9">
        <f t="shared" si="17"/>
        <v>379.6531382040165</v>
      </c>
      <c r="W66" s="9">
        <f>$H66*'AR5 Gear Ratios'!$D$5/('AR5 Gear Ratios'!$B$12/24)</f>
        <v>781.71064604185619</v>
      </c>
      <c r="X66" s="16">
        <f>(60*B66/'AR5 Gear Ratios'!$D$6)*(('AR5 Gear Ratios'!$B$12*3.14)/63360)</f>
        <v>180.71536316278744</v>
      </c>
      <c r="Y66" s="9">
        <f t="shared" si="18"/>
        <v>712.42848227437901</v>
      </c>
      <c r="Z66" s="9">
        <f>$H66*'AR5 Gear Ratios'!$D$6/('AR5 Gear Ratios'!$B$12/24)</f>
        <v>570.64877161055506</v>
      </c>
      <c r="AA66" s="16" t="e">
        <f>(60*B66/'AR5 Gear Ratios'!$D$7)*(('AR5 Gear Ratios'!$B$12*3.14)/63360)</f>
        <v>#DIV/0!</v>
      </c>
      <c r="AB66" s="9" t="e">
        <f t="shared" si="19"/>
        <v>#DIV/0!</v>
      </c>
      <c r="AC66" s="9">
        <f>$H66*'AR5 Gear Ratios'!$D$7/('AR5 Gear Ratios'!$B$12/24)</f>
        <v>0</v>
      </c>
    </row>
    <row r="67" spans="1:29" x14ac:dyDescent="0.3">
      <c r="C67" s="5"/>
      <c r="D67" s="5"/>
      <c r="E67" s="5"/>
      <c r="Y67" s="10"/>
    </row>
    <row r="68" spans="1:29" x14ac:dyDescent="0.3">
      <c r="C68" s="5"/>
      <c r="D68" s="5"/>
      <c r="E68" s="5"/>
      <c r="Y68" s="5"/>
    </row>
    <row r="69" spans="1:29" x14ac:dyDescent="0.3">
      <c r="C69" s="5"/>
      <c r="D69" s="5"/>
      <c r="E69" s="5"/>
      <c r="J69" t="s">
        <v>46</v>
      </c>
      <c r="K69" s="5">
        <f>AVERAGE(K4:K66)</f>
        <v>22.514548718195837</v>
      </c>
      <c r="L69" t="s">
        <v>15</v>
      </c>
    </row>
    <row r="70" spans="1:29" x14ac:dyDescent="0.3">
      <c r="E70" s="5"/>
    </row>
    <row r="71" spans="1:29" x14ac:dyDescent="0.3">
      <c r="K71" t="s">
        <v>48</v>
      </c>
      <c r="L71" s="4">
        <f>L66/$K$69</f>
        <v>1.5625122138879355</v>
      </c>
      <c r="M71" s="4" t="s">
        <v>18</v>
      </c>
      <c r="N71" s="4"/>
      <c r="O71" s="4">
        <f>O66/$K$69</f>
        <v>2.5926640717167064</v>
      </c>
      <c r="P71" s="4" t="s">
        <v>18</v>
      </c>
      <c r="Q71" s="4"/>
      <c r="S71" s="4"/>
      <c r="T71" s="4"/>
      <c r="V71" s="4"/>
      <c r="W71" s="4"/>
      <c r="Y71" s="4"/>
      <c r="Z71" s="4"/>
      <c r="AB71" s="4"/>
      <c r="AC71" s="4"/>
    </row>
    <row r="72" spans="1:29" x14ac:dyDescent="0.3">
      <c r="K72" t="s">
        <v>49</v>
      </c>
      <c r="L72">
        <v>0.5</v>
      </c>
      <c r="M72" t="s">
        <v>18</v>
      </c>
    </row>
    <row r="74" spans="1:29" x14ac:dyDescent="0.3">
      <c r="K74" t="s">
        <v>50</v>
      </c>
      <c r="L74" s="4">
        <f>L71+O71+L72</f>
        <v>4.6551762856046421</v>
      </c>
      <c r="M74" s="4"/>
      <c r="N74" s="4"/>
      <c r="O74" t="s">
        <v>51</v>
      </c>
      <c r="P74" s="4"/>
      <c r="Q74" s="4"/>
      <c r="S74" s="4"/>
      <c r="T74" s="4"/>
      <c r="V74" s="4"/>
      <c r="W74" s="4"/>
      <c r="Y74" s="4"/>
      <c r="Z74" s="4"/>
      <c r="AB74" s="4"/>
      <c r="AC74" s="4"/>
    </row>
    <row r="75" spans="1:29" x14ac:dyDescent="0.3">
      <c r="K75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AR5 Gear Ratios</vt:lpstr>
      <vt:lpstr>W&amp;B</vt:lpstr>
      <vt:lpstr>Components</vt:lpstr>
      <vt:lpstr>Drivetrain</vt:lpstr>
      <vt:lpstr>Acceleration Inputs</vt:lpstr>
      <vt:lpstr>Torque Curve Estimation</vt:lpstr>
      <vt:lpstr>Torque Curve Estimation w drag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Gunderman</dc:creator>
  <cp:lastModifiedBy>Michael Gunderman</cp:lastModifiedBy>
  <dcterms:created xsi:type="dcterms:W3CDTF">2021-07-04T02:22:58Z</dcterms:created>
  <dcterms:modified xsi:type="dcterms:W3CDTF">2025-03-04T07:00:09Z</dcterms:modified>
</cp:coreProperties>
</file>