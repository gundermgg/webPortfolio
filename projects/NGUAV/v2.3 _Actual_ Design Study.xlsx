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de\Downloads\"/>
    </mc:Choice>
  </mc:AlternateContent>
  <xr:revisionPtr revIDLastSave="0" documentId="13_ncr:20001_{F87C7D18-9AAF-43DA-9177-4B3641D386E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evers" sheetId="1" r:id="rId1"/>
    <sheet name="Aircraft W+B" sheetId="2" r:id="rId2"/>
    <sheet name="Systems Param+Perf" sheetId="3" r:id="rId3"/>
    <sheet name="Aerodynamic Perf" sheetId="4" r:id="rId4"/>
    <sheet name="Performance Calculator" sheetId="5" r:id="rId5"/>
    <sheet name="Requirements" sheetId="6" r:id="rId6"/>
    <sheet name="Cruise Trends" sheetId="7" r:id="rId7"/>
    <sheet name="Post-Hover Cruise Trends" sheetId="8" r:id="rId8"/>
    <sheet name="Purchasing Sheet" sheetId="9" r:id="rId9"/>
    <sheet name="Motor Options" sheetId="10" r:id="rId10"/>
    <sheet name="Forward Motor Static Thrust Cur" sheetId="11" r:id="rId11"/>
  </sheets>
  <externalReferences>
    <externalReference r:id="rId12"/>
  </externalReferences>
  <calcPr calcId="191029"/>
  <fileRecoveryPr repairLoad="1"/>
</workbook>
</file>

<file path=xl/calcChain.xml><?xml version="1.0" encoding="utf-8"?>
<calcChain xmlns="http://schemas.openxmlformats.org/spreadsheetml/2006/main">
  <c r="C12" i="11" l="1"/>
  <c r="A12" i="11"/>
  <c r="E12" i="11" s="1"/>
  <c r="C11" i="11"/>
  <c r="A11" i="11"/>
  <c r="E11" i="11" s="1"/>
  <c r="E10" i="11"/>
  <c r="C10" i="11"/>
  <c r="A10" i="11"/>
  <c r="C9" i="11"/>
  <c r="A9" i="11"/>
  <c r="E9" i="11" s="1"/>
  <c r="E8" i="11"/>
  <c r="C8" i="11"/>
  <c r="A8" i="11"/>
  <c r="E7" i="11"/>
  <c r="C7" i="11"/>
  <c r="A7" i="11"/>
  <c r="C6" i="11"/>
  <c r="A6" i="11"/>
  <c r="E6" i="11" s="1"/>
  <c r="E5" i="11"/>
  <c r="C5" i="11"/>
  <c r="A5" i="11"/>
  <c r="C4" i="11"/>
  <c r="A4" i="11"/>
  <c r="E4" i="11" s="1"/>
  <c r="C3" i="11"/>
  <c r="A3" i="11"/>
  <c r="E3" i="11" s="1"/>
  <c r="E2" i="11"/>
  <c r="C2" i="11"/>
  <c r="A2" i="11"/>
  <c r="H13" i="10"/>
  <c r="H12" i="10"/>
  <c r="H11" i="10"/>
  <c r="H10" i="10"/>
  <c r="H9" i="10"/>
  <c r="H8" i="10"/>
  <c r="H7" i="10"/>
  <c r="H6" i="10"/>
  <c r="H5" i="10"/>
  <c r="H4" i="10"/>
  <c r="H3" i="10"/>
  <c r="H2" i="10"/>
  <c r="E9" i="9"/>
  <c r="E7" i="9"/>
  <c r="E6" i="9"/>
  <c r="E5" i="9"/>
  <c r="E4" i="9"/>
  <c r="E3" i="9"/>
  <c r="E2" i="9"/>
  <c r="A178" i="8"/>
  <c r="A99" i="8"/>
  <c r="A180" i="8" s="1"/>
  <c r="A97" i="8"/>
  <c r="A5" i="8"/>
  <c r="A3" i="8"/>
  <c r="A2" i="8"/>
  <c r="A98" i="8" s="1"/>
  <c r="A179" i="8" s="1"/>
  <c r="A178" i="7"/>
  <c r="A99" i="7"/>
  <c r="A180" i="7" s="1"/>
  <c r="A97" i="7"/>
  <c r="A6" i="7"/>
  <c r="A101" i="7" s="1"/>
  <c r="A182" i="7" s="1"/>
  <c r="A5" i="7"/>
  <c r="A100" i="7" s="1"/>
  <c r="A181" i="7" s="1"/>
  <c r="A3" i="7"/>
  <c r="A2" i="7"/>
  <c r="A98" i="7" s="1"/>
  <c r="A179" i="7" s="1"/>
  <c r="G2" i="5"/>
  <c r="H2" i="5" s="1"/>
  <c r="B48" i="4"/>
  <c r="B47" i="4"/>
  <c r="B45" i="4"/>
  <c r="B25" i="4"/>
  <c r="B21" i="4"/>
  <c r="I20" i="4"/>
  <c r="B13" i="4"/>
  <c r="B14" i="4" s="1"/>
  <c r="B12" i="4"/>
  <c r="D11" i="4"/>
  <c r="B10" i="4"/>
  <c r="B34" i="4" s="1"/>
  <c r="D9" i="4"/>
  <c r="D8" i="4"/>
  <c r="C82" i="3"/>
  <c r="C83" i="3" s="1"/>
  <c r="C76" i="3"/>
  <c r="C75" i="3"/>
  <c r="I70" i="3"/>
  <c r="I68" i="3"/>
  <c r="I67" i="3"/>
  <c r="C66" i="3"/>
  <c r="I65" i="3"/>
  <c r="I63" i="3"/>
  <c r="I64" i="3" s="1"/>
  <c r="I66" i="3" s="1"/>
  <c r="E59" i="3"/>
  <c r="C59" i="3"/>
  <c r="G59" i="3" s="1"/>
  <c r="J58" i="3"/>
  <c r="C58" i="3"/>
  <c r="C57" i="3"/>
  <c r="J55" i="3"/>
  <c r="J57" i="3" s="1"/>
  <c r="E48" i="3"/>
  <c r="C50" i="3" s="1"/>
  <c r="C48" i="3"/>
  <c r="J51" i="2"/>
  <c r="C46" i="2"/>
  <c r="E44" i="2"/>
  <c r="G43" i="2"/>
  <c r="E43" i="2"/>
  <c r="C43" i="2"/>
  <c r="C38" i="2"/>
  <c r="J36" i="2"/>
  <c r="J38" i="2" s="1"/>
  <c r="J46" i="2" s="1"/>
  <c r="J54" i="2" s="1"/>
  <c r="J34" i="2"/>
  <c r="J35" i="2" s="1"/>
  <c r="J27" i="2"/>
  <c r="J28" i="2" s="1"/>
  <c r="J22" i="2"/>
  <c r="C16" i="2"/>
  <c r="C12" i="2"/>
  <c r="C60" i="2" s="1"/>
  <c r="F4" i="2"/>
  <c r="C57" i="2" l="1"/>
  <c r="B35" i="5"/>
  <c r="B26" i="5"/>
  <c r="B25" i="5"/>
  <c r="C61" i="2"/>
  <c r="C53" i="2"/>
  <c r="C58" i="2"/>
  <c r="C55" i="2"/>
  <c r="B7" i="5"/>
  <c r="D7" i="5" s="1"/>
  <c r="C62" i="2"/>
  <c r="B6" i="5"/>
  <c r="C56" i="2"/>
  <c r="B30" i="5"/>
  <c r="B4" i="5"/>
  <c r="D4" i="5" s="1"/>
  <c r="C54" i="2"/>
  <c r="A7" i="7"/>
  <c r="E46" i="2"/>
  <c r="D13" i="4"/>
  <c r="A100" i="8"/>
  <c r="A181" i="8" s="1"/>
  <c r="A6" i="8"/>
  <c r="I6" i="8" l="1"/>
  <c r="I5" i="8"/>
  <c r="I4" i="8"/>
  <c r="I6" i="7"/>
  <c r="I8" i="7"/>
  <c r="I7" i="7"/>
  <c r="I5" i="7"/>
  <c r="I4" i="7"/>
  <c r="A102" i="7"/>
  <c r="A183" i="7" s="1"/>
  <c r="A8" i="7"/>
  <c r="A101" i="8"/>
  <c r="A182" i="8" s="1"/>
  <c r="A7" i="8"/>
  <c r="I7" i="8" s="1"/>
  <c r="B27" i="5"/>
  <c r="B34" i="5"/>
  <c r="F29" i="5"/>
  <c r="F30" i="5" s="1"/>
  <c r="B29" i="5"/>
  <c r="J7" i="8" l="1"/>
  <c r="H7" i="8"/>
  <c r="K7" i="8" s="1"/>
  <c r="J6" i="7"/>
  <c r="H6" i="7"/>
  <c r="F6" i="7" s="1"/>
  <c r="G6" i="7" s="1"/>
  <c r="M6" i="7" s="1"/>
  <c r="J5" i="8"/>
  <c r="K5" i="8"/>
  <c r="H5" i="8"/>
  <c r="F5" i="8" s="1"/>
  <c r="G5" i="8" s="1"/>
  <c r="M5" i="8" s="1"/>
  <c r="L5" i="8" s="1"/>
  <c r="A103" i="7"/>
  <c r="A184" i="7" s="1"/>
  <c r="A9" i="7"/>
  <c r="J7" i="7"/>
  <c r="H7" i="7"/>
  <c r="F7" i="7" s="1"/>
  <c r="G7" i="7" s="1"/>
  <c r="M7" i="7" s="1"/>
  <c r="A102" i="8"/>
  <c r="A183" i="8" s="1"/>
  <c r="A8" i="8"/>
  <c r="J8" i="7"/>
  <c r="H8" i="7"/>
  <c r="F8" i="7" s="1"/>
  <c r="G8" i="7" s="1"/>
  <c r="M8" i="7" s="1"/>
  <c r="J4" i="8"/>
  <c r="H4" i="8"/>
  <c r="F4" i="8" s="1"/>
  <c r="G4" i="8" s="1"/>
  <c r="M4" i="8" s="1"/>
  <c r="L4" i="8" s="1"/>
  <c r="J4" i="7"/>
  <c r="H4" i="7"/>
  <c r="F4" i="7" s="1"/>
  <c r="G4" i="7" s="1"/>
  <c r="M4" i="7" s="1"/>
  <c r="B28" i="5"/>
  <c r="B37" i="5"/>
  <c r="J5" i="7"/>
  <c r="H5" i="7"/>
  <c r="F5" i="7" s="1"/>
  <c r="G5" i="7" s="1"/>
  <c r="M5" i="7" s="1"/>
  <c r="J6" i="8"/>
  <c r="H6" i="8"/>
  <c r="F6" i="8" s="1"/>
  <c r="G6" i="8" s="1"/>
  <c r="M6" i="8" s="1"/>
  <c r="L6" i="8" s="1"/>
  <c r="L8" i="7" l="1"/>
  <c r="C8" i="7"/>
  <c r="D8" i="7" s="1"/>
  <c r="L7" i="7"/>
  <c r="C7" i="7"/>
  <c r="D7" i="7" s="1"/>
  <c r="L6" i="7"/>
  <c r="C6" i="7"/>
  <c r="D6" i="7" s="1"/>
  <c r="K7" i="7"/>
  <c r="K6" i="7"/>
  <c r="C5" i="8"/>
  <c r="D5" i="8" s="1"/>
  <c r="C7" i="8"/>
  <c r="D7" i="8" s="1"/>
  <c r="C6" i="8"/>
  <c r="D6" i="8" s="1"/>
  <c r="C4" i="8"/>
  <c r="A104" i="7"/>
  <c r="A185" i="7" s="1"/>
  <c r="A10" i="7"/>
  <c r="I9" i="7"/>
  <c r="K5" i="7"/>
  <c r="C4" i="7"/>
  <c r="L4" i="7"/>
  <c r="K8" i="7"/>
  <c r="K6" i="8"/>
  <c r="K4" i="7"/>
  <c r="F7" i="8"/>
  <c r="G7" i="8" s="1"/>
  <c r="M7" i="8" s="1"/>
  <c r="L7" i="8" s="1"/>
  <c r="L5" i="7"/>
  <c r="C5" i="7"/>
  <c r="D5" i="7" s="1"/>
  <c r="K4" i="8"/>
  <c r="A103" i="8"/>
  <c r="A184" i="8" s="1"/>
  <c r="A9" i="8"/>
  <c r="I8" i="8"/>
  <c r="A11" i="7" l="1"/>
  <c r="A105" i="7"/>
  <c r="A186" i="7" s="1"/>
  <c r="I10" i="7"/>
  <c r="A104" i="8"/>
  <c r="A185" i="8" s="1"/>
  <c r="A10" i="8"/>
  <c r="I9" i="8"/>
  <c r="J8" i="8"/>
  <c r="H8" i="8"/>
  <c r="F8" i="8" s="1"/>
  <c r="G8" i="8" s="1"/>
  <c r="M8" i="8" s="1"/>
  <c r="D4" i="8"/>
  <c r="D4" i="7"/>
  <c r="K9" i="7"/>
  <c r="J9" i="7"/>
  <c r="H9" i="7"/>
  <c r="F9" i="7" s="1"/>
  <c r="G9" i="7" s="1"/>
  <c r="M9" i="7" s="1"/>
  <c r="J9" i="8" l="1"/>
  <c r="H9" i="8"/>
  <c r="F9" i="8" s="1"/>
  <c r="G9" i="8" s="1"/>
  <c r="M9" i="8" s="1"/>
  <c r="A105" i="8"/>
  <c r="A186" i="8" s="1"/>
  <c r="A11" i="8"/>
  <c r="I10" i="8"/>
  <c r="K10" i="7"/>
  <c r="J10" i="7"/>
  <c r="H10" i="7"/>
  <c r="F10" i="7" s="1"/>
  <c r="G10" i="7" s="1"/>
  <c r="M10" i="7" s="1"/>
  <c r="L8" i="8"/>
  <c r="C8" i="8"/>
  <c r="C9" i="7"/>
  <c r="L9" i="7"/>
  <c r="K8" i="8"/>
  <c r="A106" i="7"/>
  <c r="A187" i="7" s="1"/>
  <c r="A12" i="7"/>
  <c r="I11" i="7"/>
  <c r="J10" i="8" l="1"/>
  <c r="H10" i="8"/>
  <c r="F10" i="8" s="1"/>
  <c r="G10" i="8" s="1"/>
  <c r="M10" i="8" s="1"/>
  <c r="D9" i="7"/>
  <c r="A106" i="8"/>
  <c r="A187" i="8" s="1"/>
  <c r="A12" i="8"/>
  <c r="I11" i="8"/>
  <c r="A13" i="7"/>
  <c r="A107" i="7"/>
  <c r="A188" i="7" s="1"/>
  <c r="I12" i="7"/>
  <c r="D8" i="8"/>
  <c r="L9" i="8"/>
  <c r="C9" i="8"/>
  <c r="D9" i="8" s="1"/>
  <c r="J11" i="7"/>
  <c r="H11" i="7"/>
  <c r="F11" i="7" s="1"/>
  <c r="G11" i="7" s="1"/>
  <c r="M11" i="7" s="1"/>
  <c r="L10" i="7"/>
  <c r="C10" i="7"/>
  <c r="D10" i="7" s="1"/>
  <c r="K9" i="8"/>
  <c r="A13" i="8" l="1"/>
  <c r="A107" i="8"/>
  <c r="A188" i="8" s="1"/>
  <c r="I12" i="8"/>
  <c r="L10" i="8"/>
  <c r="C10" i="8"/>
  <c r="L11" i="7"/>
  <c r="C11" i="7"/>
  <c r="D11" i="7" s="1"/>
  <c r="K11" i="7"/>
  <c r="A108" i="7"/>
  <c r="A189" i="7" s="1"/>
  <c r="A14" i="7"/>
  <c r="I13" i="7"/>
  <c r="J12" i="7"/>
  <c r="H12" i="7"/>
  <c r="F12" i="7" s="1"/>
  <c r="G12" i="7" s="1"/>
  <c r="M12" i="7" s="1"/>
  <c r="J11" i="8"/>
  <c r="H11" i="8"/>
  <c r="F11" i="8" s="1"/>
  <c r="G11" i="8" s="1"/>
  <c r="M11" i="8" s="1"/>
  <c r="K10" i="8"/>
  <c r="L11" i="8" l="1"/>
  <c r="C11" i="8"/>
  <c r="D11" i="8" s="1"/>
  <c r="J12" i="8"/>
  <c r="H12" i="8"/>
  <c r="F12" i="8" s="1"/>
  <c r="G12" i="8" s="1"/>
  <c r="M12" i="8" s="1"/>
  <c r="L12" i="7"/>
  <c r="C12" i="7"/>
  <c r="A109" i="7"/>
  <c r="A190" i="7" s="1"/>
  <c r="A15" i="7"/>
  <c r="I14" i="7"/>
  <c r="K11" i="8"/>
  <c r="K12" i="7"/>
  <c r="K13" i="7"/>
  <c r="J13" i="7"/>
  <c r="H13" i="7"/>
  <c r="F13" i="7" s="1"/>
  <c r="G13" i="7" s="1"/>
  <c r="M13" i="7" s="1"/>
  <c r="D10" i="8"/>
  <c r="A108" i="8"/>
  <c r="A189" i="8" s="1"/>
  <c r="A14" i="8"/>
  <c r="I13" i="8"/>
  <c r="D12" i="7" l="1"/>
  <c r="L12" i="8"/>
  <c r="C12" i="8"/>
  <c r="J13" i="8"/>
  <c r="H13" i="8"/>
  <c r="F13" i="8" s="1"/>
  <c r="G13" i="8" s="1"/>
  <c r="M13" i="8" s="1"/>
  <c r="K12" i="8"/>
  <c r="J14" i="7"/>
  <c r="H14" i="7"/>
  <c r="F14" i="7" s="1"/>
  <c r="G14" i="7" s="1"/>
  <c r="M14" i="7" s="1"/>
  <c r="A109" i="8"/>
  <c r="A190" i="8" s="1"/>
  <c r="A15" i="8"/>
  <c r="I14" i="8"/>
  <c r="L13" i="7"/>
  <c r="C13" i="7"/>
  <c r="D13" i="7" s="1"/>
  <c r="A110" i="7"/>
  <c r="A191" i="7" s="1"/>
  <c r="A16" i="7"/>
  <c r="I15" i="7"/>
  <c r="J14" i="8" l="1"/>
  <c r="H14" i="8"/>
  <c r="F14" i="8" s="1"/>
  <c r="G14" i="8" s="1"/>
  <c r="M14" i="8" s="1"/>
  <c r="L13" i="8"/>
  <c r="C13" i="8"/>
  <c r="D13" i="8" s="1"/>
  <c r="A16" i="8"/>
  <c r="A110" i="8"/>
  <c r="A191" i="8" s="1"/>
  <c r="I15" i="8"/>
  <c r="K13" i="8"/>
  <c r="D12" i="8"/>
  <c r="L14" i="7"/>
  <c r="C14" i="7"/>
  <c r="D14" i="7" s="1"/>
  <c r="K15" i="7"/>
  <c r="J15" i="7"/>
  <c r="H15" i="7"/>
  <c r="F15" i="7" s="1"/>
  <c r="G15" i="7" s="1"/>
  <c r="M15" i="7" s="1"/>
  <c r="A111" i="7"/>
  <c r="A192" i="7" s="1"/>
  <c r="A17" i="7"/>
  <c r="I16" i="7"/>
  <c r="K14" i="7"/>
  <c r="A112" i="7" l="1"/>
  <c r="A193" i="7" s="1"/>
  <c r="A18" i="7"/>
  <c r="I17" i="7"/>
  <c r="L14" i="8"/>
  <c r="C14" i="8"/>
  <c r="D14" i="8" s="1"/>
  <c r="K16" i="7"/>
  <c r="J16" i="7"/>
  <c r="H16" i="7"/>
  <c r="F16" i="7" s="1"/>
  <c r="G16" i="7" s="1"/>
  <c r="M16" i="7" s="1"/>
  <c r="A111" i="8"/>
  <c r="A192" i="8" s="1"/>
  <c r="A17" i="8"/>
  <c r="I16" i="8"/>
  <c r="L15" i="7"/>
  <c r="C15" i="7"/>
  <c r="D15" i="7" s="1"/>
  <c r="J15" i="8"/>
  <c r="H15" i="8"/>
  <c r="F15" i="8" s="1"/>
  <c r="G15" i="8" s="1"/>
  <c r="M15" i="8" s="1"/>
  <c r="K14" i="8"/>
  <c r="J16" i="8" l="1"/>
  <c r="H16" i="8"/>
  <c r="F16" i="8" s="1"/>
  <c r="G16" i="8" s="1"/>
  <c r="M16" i="8" s="1"/>
  <c r="A112" i="8"/>
  <c r="A193" i="8" s="1"/>
  <c r="A18" i="8"/>
  <c r="I17" i="8"/>
  <c r="K17" i="7"/>
  <c r="J17" i="7"/>
  <c r="H17" i="7"/>
  <c r="F17" i="7" s="1"/>
  <c r="G17" i="7" s="1"/>
  <c r="M17" i="7" s="1"/>
  <c r="L16" i="7"/>
  <c r="C16" i="7"/>
  <c r="D16" i="7" s="1"/>
  <c r="A19" i="7"/>
  <c r="A113" i="7"/>
  <c r="A194" i="7" s="1"/>
  <c r="I18" i="7"/>
  <c r="L15" i="8"/>
  <c r="C15" i="8"/>
  <c r="D15" i="8" s="1"/>
  <c r="K15" i="8"/>
  <c r="J17" i="8" l="1"/>
  <c r="H17" i="8"/>
  <c r="F17" i="8" s="1"/>
  <c r="G17" i="8" s="1"/>
  <c r="M17" i="8" s="1"/>
  <c r="A114" i="7"/>
  <c r="A195" i="7" s="1"/>
  <c r="A20" i="7"/>
  <c r="I19" i="7"/>
  <c r="A113" i="8"/>
  <c r="A194" i="8" s="1"/>
  <c r="A19" i="8"/>
  <c r="I18" i="8"/>
  <c r="L16" i="8"/>
  <c r="C16" i="8"/>
  <c r="D16" i="8" s="1"/>
  <c r="L17" i="7"/>
  <c r="C17" i="7"/>
  <c r="D17" i="7" s="1"/>
  <c r="K18" i="7"/>
  <c r="J18" i="7"/>
  <c r="H18" i="7"/>
  <c r="F18" i="7" s="1"/>
  <c r="G18" i="7" s="1"/>
  <c r="M18" i="7" s="1"/>
  <c r="K16" i="8"/>
  <c r="A21" i="7" l="1"/>
  <c r="A115" i="7"/>
  <c r="A196" i="7" s="1"/>
  <c r="I20" i="7"/>
  <c r="L17" i="8"/>
  <c r="C17" i="8"/>
  <c r="D17" i="8" s="1"/>
  <c r="K19" i="7"/>
  <c r="J19" i="7"/>
  <c r="H19" i="7"/>
  <c r="F19" i="7" s="1"/>
  <c r="G19" i="7" s="1"/>
  <c r="M19" i="7" s="1"/>
  <c r="L18" i="7"/>
  <c r="C18" i="7"/>
  <c r="D18" i="7" s="1"/>
  <c r="J18" i="8"/>
  <c r="H18" i="8"/>
  <c r="F18" i="8" s="1"/>
  <c r="G18" i="8" s="1"/>
  <c r="M18" i="8" s="1"/>
  <c r="A114" i="8"/>
  <c r="A195" i="8" s="1"/>
  <c r="A20" i="8"/>
  <c r="I19" i="8"/>
  <c r="K17" i="8"/>
  <c r="L18" i="8" l="1"/>
  <c r="C18" i="8"/>
  <c r="D18" i="8" s="1"/>
  <c r="K18" i="8"/>
  <c r="J20" i="7"/>
  <c r="H20" i="7"/>
  <c r="F20" i="7" s="1"/>
  <c r="G20" i="7" s="1"/>
  <c r="M20" i="7" s="1"/>
  <c r="K19" i="8"/>
  <c r="J19" i="8"/>
  <c r="H19" i="8"/>
  <c r="F19" i="8" s="1"/>
  <c r="G19" i="8" s="1"/>
  <c r="M19" i="8" s="1"/>
  <c r="A115" i="8"/>
  <c r="A196" i="8" s="1"/>
  <c r="A21" i="8"/>
  <c r="I20" i="8"/>
  <c r="L19" i="7"/>
  <c r="C19" i="7"/>
  <c r="D19" i="7" s="1"/>
  <c r="A116" i="7"/>
  <c r="A197" i="7" s="1"/>
  <c r="A22" i="7"/>
  <c r="I21" i="7"/>
  <c r="L20" i="7" l="1"/>
  <c r="C20" i="7"/>
  <c r="D20" i="7" s="1"/>
  <c r="J20" i="8"/>
  <c r="H20" i="8"/>
  <c r="F20" i="8" s="1"/>
  <c r="G20" i="8" s="1"/>
  <c r="M20" i="8" s="1"/>
  <c r="K20" i="7"/>
  <c r="K21" i="7"/>
  <c r="J21" i="7"/>
  <c r="H21" i="7"/>
  <c r="F21" i="7" s="1"/>
  <c r="G21" i="7" s="1"/>
  <c r="M21" i="7" s="1"/>
  <c r="A116" i="8"/>
  <c r="A197" i="8" s="1"/>
  <c r="A22" i="8"/>
  <c r="I21" i="8"/>
  <c r="A117" i="7"/>
  <c r="A198" i="7" s="1"/>
  <c r="A23" i="7"/>
  <c r="I22" i="7"/>
  <c r="L19" i="8"/>
  <c r="C19" i="8"/>
  <c r="D19" i="8" s="1"/>
  <c r="L20" i="8" l="1"/>
  <c r="C20" i="8"/>
  <c r="D20" i="8" s="1"/>
  <c r="K20" i="8"/>
  <c r="A117" i="8"/>
  <c r="A198" i="8" s="1"/>
  <c r="A23" i="8"/>
  <c r="I22" i="8"/>
  <c r="K21" i="8"/>
  <c r="J21" i="8"/>
  <c r="H21" i="8"/>
  <c r="F21" i="8" s="1"/>
  <c r="G21" i="8" s="1"/>
  <c r="M21" i="8" s="1"/>
  <c r="A118" i="7"/>
  <c r="A199" i="7" s="1"/>
  <c r="A24" i="7"/>
  <c r="I23" i="7"/>
  <c r="J22" i="7"/>
  <c r="K22" i="7"/>
  <c r="H22" i="7"/>
  <c r="F22" i="7" s="1"/>
  <c r="G22" i="7" s="1"/>
  <c r="M22" i="7" s="1"/>
  <c r="L21" i="7"/>
  <c r="C21" i="7"/>
  <c r="D21" i="7" s="1"/>
  <c r="J22" i="8" l="1"/>
  <c r="H22" i="8"/>
  <c r="F22" i="8" s="1"/>
  <c r="G22" i="8" s="1"/>
  <c r="M22" i="8" s="1"/>
  <c r="A118" i="8"/>
  <c r="A199" i="8" s="1"/>
  <c r="A24" i="8"/>
  <c r="I23" i="8"/>
  <c r="K23" i="7"/>
  <c r="H23" i="7"/>
  <c r="F23" i="7" s="1"/>
  <c r="G23" i="7" s="1"/>
  <c r="M23" i="7" s="1"/>
  <c r="J23" i="7"/>
  <c r="A119" i="7"/>
  <c r="A200" i="7" s="1"/>
  <c r="A25" i="7"/>
  <c r="I24" i="7"/>
  <c r="L21" i="8"/>
  <c r="C21" i="8"/>
  <c r="D21" i="8" s="1"/>
  <c r="L22" i="7"/>
  <c r="C22" i="7"/>
  <c r="D22" i="7" s="1"/>
  <c r="J24" i="7" l="1"/>
  <c r="H24" i="7"/>
  <c r="F24" i="7" s="1"/>
  <c r="G24" i="7" s="1"/>
  <c r="M24" i="7" s="1"/>
  <c r="A119" i="8"/>
  <c r="A200" i="8" s="1"/>
  <c r="A25" i="8"/>
  <c r="I24" i="8"/>
  <c r="K23" i="8"/>
  <c r="J23" i="8"/>
  <c r="H23" i="8"/>
  <c r="F23" i="8" s="1"/>
  <c r="G23" i="8" s="1"/>
  <c r="M23" i="8" s="1"/>
  <c r="A120" i="7"/>
  <c r="A201" i="7" s="1"/>
  <c r="A26" i="7"/>
  <c r="I25" i="7"/>
  <c r="L22" i="8"/>
  <c r="C22" i="8"/>
  <c r="D22" i="8" s="1"/>
  <c r="L23" i="7"/>
  <c r="C23" i="7"/>
  <c r="D23" i="7" s="1"/>
  <c r="K22" i="8"/>
  <c r="A120" i="8" l="1"/>
  <c r="A201" i="8" s="1"/>
  <c r="A26" i="8"/>
  <c r="I25" i="8"/>
  <c r="A27" i="7"/>
  <c r="A121" i="7"/>
  <c r="A202" i="7" s="1"/>
  <c r="I26" i="7"/>
  <c r="L24" i="7"/>
  <c r="C24" i="7"/>
  <c r="D24" i="7" s="1"/>
  <c r="J25" i="7"/>
  <c r="H25" i="7"/>
  <c r="F25" i="7" s="1"/>
  <c r="G25" i="7" s="1"/>
  <c r="M25" i="7" s="1"/>
  <c r="L23" i="8"/>
  <c r="C23" i="8"/>
  <c r="D23" i="8" s="1"/>
  <c r="K24" i="8"/>
  <c r="J24" i="8"/>
  <c r="H24" i="8"/>
  <c r="F24" i="8" s="1"/>
  <c r="G24" i="8" s="1"/>
  <c r="M24" i="8" s="1"/>
  <c r="K24" i="7"/>
  <c r="J26" i="7" l="1"/>
  <c r="H26" i="7"/>
  <c r="F26" i="7" s="1"/>
  <c r="G26" i="7" s="1"/>
  <c r="M26" i="7" s="1"/>
  <c r="L25" i="7"/>
  <c r="C25" i="7"/>
  <c r="D25" i="7" s="1"/>
  <c r="A122" i="7"/>
  <c r="A203" i="7" s="1"/>
  <c r="A28" i="7"/>
  <c r="I27" i="7"/>
  <c r="J25" i="8"/>
  <c r="H25" i="8"/>
  <c r="F25" i="8" s="1"/>
  <c r="G25" i="8" s="1"/>
  <c r="M25" i="8" s="1"/>
  <c r="K25" i="7"/>
  <c r="L24" i="8"/>
  <c r="C24" i="8"/>
  <c r="D24" i="8" s="1"/>
  <c r="A121" i="8"/>
  <c r="A202" i="8" s="1"/>
  <c r="A27" i="8"/>
  <c r="I26" i="8"/>
  <c r="A123" i="7" l="1"/>
  <c r="A204" i="7" s="1"/>
  <c r="A29" i="7"/>
  <c r="I28" i="7"/>
  <c r="L26" i="7"/>
  <c r="C26" i="7"/>
  <c r="D26" i="7" s="1"/>
  <c r="L25" i="8"/>
  <c r="C25" i="8"/>
  <c r="D25" i="8" s="1"/>
  <c r="K25" i="8"/>
  <c r="J26" i="8"/>
  <c r="H26" i="8"/>
  <c r="F26" i="8" s="1"/>
  <c r="G26" i="8" s="1"/>
  <c r="M26" i="8" s="1"/>
  <c r="A122" i="8"/>
  <c r="A203" i="8" s="1"/>
  <c r="A28" i="8"/>
  <c r="I27" i="8"/>
  <c r="J27" i="7"/>
  <c r="H27" i="7"/>
  <c r="F27" i="7" s="1"/>
  <c r="G27" i="7" s="1"/>
  <c r="M27" i="7" s="1"/>
  <c r="K26" i="7"/>
  <c r="L26" i="8" l="1"/>
  <c r="C26" i="8"/>
  <c r="D26" i="8" s="1"/>
  <c r="A123" i="8"/>
  <c r="A204" i="8" s="1"/>
  <c r="A29" i="8"/>
  <c r="I28" i="8"/>
  <c r="L27" i="7"/>
  <c r="C27" i="7"/>
  <c r="D27" i="7" s="1"/>
  <c r="A124" i="7"/>
  <c r="A205" i="7" s="1"/>
  <c r="A30" i="7"/>
  <c r="I29" i="7"/>
  <c r="J27" i="8"/>
  <c r="H27" i="8"/>
  <c r="F27" i="8" s="1"/>
  <c r="G27" i="8" s="1"/>
  <c r="M27" i="8" s="1"/>
  <c r="J28" i="7"/>
  <c r="H28" i="7"/>
  <c r="F28" i="7" s="1"/>
  <c r="G28" i="7" s="1"/>
  <c r="M28" i="7" s="1"/>
  <c r="K26" i="8"/>
  <c r="K27" i="7"/>
  <c r="J28" i="8" l="1"/>
  <c r="H28" i="8"/>
  <c r="F28" i="8" s="1"/>
  <c r="G28" i="8" s="1"/>
  <c r="M28" i="8" s="1"/>
  <c r="K27" i="8"/>
  <c r="J29" i="7"/>
  <c r="H29" i="7"/>
  <c r="F29" i="7" s="1"/>
  <c r="G29" i="7" s="1"/>
  <c r="M29" i="7" s="1"/>
  <c r="A125" i="7"/>
  <c r="A206" i="7" s="1"/>
  <c r="A31" i="7"/>
  <c r="I30" i="7"/>
  <c r="L28" i="7"/>
  <c r="C28" i="7"/>
  <c r="D28" i="7" s="1"/>
  <c r="L27" i="8"/>
  <c r="C27" i="8"/>
  <c r="D27" i="8" s="1"/>
  <c r="A124" i="8"/>
  <c r="A205" i="8" s="1"/>
  <c r="A30" i="8"/>
  <c r="I29" i="8"/>
  <c r="K28" i="7"/>
  <c r="L29" i="7" l="1"/>
  <c r="C29" i="7"/>
  <c r="D29" i="7" s="1"/>
  <c r="K29" i="7"/>
  <c r="L28" i="8"/>
  <c r="C28" i="8"/>
  <c r="D28" i="8" s="1"/>
  <c r="J30" i="7"/>
  <c r="H30" i="7"/>
  <c r="F30" i="7" s="1"/>
  <c r="G30" i="7" s="1"/>
  <c r="M30" i="7" s="1"/>
  <c r="K28" i="8"/>
  <c r="J29" i="8"/>
  <c r="H29" i="8"/>
  <c r="F29" i="8" s="1"/>
  <c r="G29" i="8" s="1"/>
  <c r="M29" i="8" s="1"/>
  <c r="A125" i="8"/>
  <c r="A206" i="8" s="1"/>
  <c r="A31" i="8"/>
  <c r="I30" i="8"/>
  <c r="A126" i="7"/>
  <c r="A207" i="7" s="1"/>
  <c r="A32" i="7"/>
  <c r="I31" i="7"/>
  <c r="J30" i="8" l="1"/>
  <c r="H30" i="8"/>
  <c r="F30" i="8" s="1"/>
  <c r="G30" i="8" s="1"/>
  <c r="M30" i="8" s="1"/>
  <c r="A32" i="8"/>
  <c r="A126" i="8"/>
  <c r="A207" i="8" s="1"/>
  <c r="I31" i="8"/>
  <c r="L30" i="7"/>
  <c r="C30" i="7"/>
  <c r="D30" i="7" s="1"/>
  <c r="K30" i="7"/>
  <c r="H31" i="7"/>
  <c r="F31" i="7" s="1"/>
  <c r="G31" i="7" s="1"/>
  <c r="M31" i="7" s="1"/>
  <c r="J31" i="7"/>
  <c r="L29" i="8"/>
  <c r="C29" i="8"/>
  <c r="D29" i="8" s="1"/>
  <c r="A127" i="7"/>
  <c r="A208" i="7" s="1"/>
  <c r="A33" i="7"/>
  <c r="I32" i="7"/>
  <c r="K29" i="8"/>
  <c r="J31" i="8" l="1"/>
  <c r="H31" i="8"/>
  <c r="F31" i="8" s="1"/>
  <c r="G31" i="8" s="1"/>
  <c r="M31" i="8" s="1"/>
  <c r="L30" i="8"/>
  <c r="C30" i="8"/>
  <c r="D30" i="8" s="1"/>
  <c r="L31" i="7"/>
  <c r="C31" i="7"/>
  <c r="D31" i="7" s="1"/>
  <c r="K32" i="7"/>
  <c r="J32" i="7"/>
  <c r="H32" i="7"/>
  <c r="F32" i="7" s="1"/>
  <c r="G32" i="7" s="1"/>
  <c r="M32" i="7" s="1"/>
  <c r="K31" i="7"/>
  <c r="A127" i="8"/>
  <c r="A208" i="8" s="1"/>
  <c r="A33" i="8"/>
  <c r="I32" i="8"/>
  <c r="A128" i="7"/>
  <c r="A209" i="7" s="1"/>
  <c r="A34" i="7"/>
  <c r="I33" i="7"/>
  <c r="K30" i="8"/>
  <c r="J32" i="8" l="1"/>
  <c r="H32" i="8"/>
  <c r="F32" i="8" s="1"/>
  <c r="G32" i="8" s="1"/>
  <c r="M32" i="8" s="1"/>
  <c r="L31" i="8"/>
  <c r="C31" i="8"/>
  <c r="D31" i="8" s="1"/>
  <c r="L32" i="7"/>
  <c r="C32" i="7"/>
  <c r="D32" i="7" s="1"/>
  <c r="A128" i="8"/>
  <c r="A209" i="8" s="1"/>
  <c r="A34" i="8"/>
  <c r="I33" i="8"/>
  <c r="J33" i="7"/>
  <c r="H33" i="7"/>
  <c r="F33" i="7" s="1"/>
  <c r="G33" i="7" s="1"/>
  <c r="M33" i="7" s="1"/>
  <c r="A129" i="7"/>
  <c r="A210" i="7" s="1"/>
  <c r="A35" i="7"/>
  <c r="I34" i="7"/>
  <c r="K31" i="8"/>
  <c r="L33" i="7" l="1"/>
  <c r="C33" i="7"/>
  <c r="D33" i="7" s="1"/>
  <c r="K33" i="7"/>
  <c r="L32" i="8"/>
  <c r="C32" i="8"/>
  <c r="D32" i="8" s="1"/>
  <c r="A130" i="7"/>
  <c r="A211" i="7" s="1"/>
  <c r="A36" i="7"/>
  <c r="I35" i="7"/>
  <c r="J33" i="8"/>
  <c r="H33" i="8"/>
  <c r="F33" i="8" s="1"/>
  <c r="G33" i="8" s="1"/>
  <c r="M33" i="8" s="1"/>
  <c r="J34" i="7"/>
  <c r="H34" i="7"/>
  <c r="F34" i="7" s="1"/>
  <c r="G34" i="7" s="1"/>
  <c r="M34" i="7" s="1"/>
  <c r="A129" i="8"/>
  <c r="A210" i="8" s="1"/>
  <c r="A35" i="8"/>
  <c r="I34" i="8"/>
  <c r="K32" i="8"/>
  <c r="L33" i="8" l="1"/>
  <c r="C33" i="8"/>
  <c r="D33" i="8" s="1"/>
  <c r="A37" i="7"/>
  <c r="A131" i="7"/>
  <c r="A212" i="7" s="1"/>
  <c r="I36" i="7"/>
  <c r="K34" i="7"/>
  <c r="J34" i="8"/>
  <c r="H34" i="8"/>
  <c r="F34" i="8" s="1"/>
  <c r="G34" i="8" s="1"/>
  <c r="M34" i="8" s="1"/>
  <c r="L34" i="7"/>
  <c r="C34" i="7"/>
  <c r="D34" i="7" s="1"/>
  <c r="K33" i="8"/>
  <c r="A130" i="8"/>
  <c r="A211" i="8" s="1"/>
  <c r="A36" i="8"/>
  <c r="I35" i="8"/>
  <c r="J35" i="7"/>
  <c r="H35" i="7"/>
  <c r="F35" i="7" s="1"/>
  <c r="G35" i="7" s="1"/>
  <c r="M35" i="7" s="1"/>
  <c r="J36" i="7" l="1"/>
  <c r="H36" i="7"/>
  <c r="F36" i="7" s="1"/>
  <c r="G36" i="7" s="1"/>
  <c r="M36" i="7" s="1"/>
  <c r="L35" i="7"/>
  <c r="C35" i="7"/>
  <c r="D35" i="7" s="1"/>
  <c r="A132" i="7"/>
  <c r="A213" i="7" s="1"/>
  <c r="A38" i="7"/>
  <c r="I37" i="7"/>
  <c r="L34" i="8"/>
  <c r="C34" i="8"/>
  <c r="D34" i="8" s="1"/>
  <c r="A131" i="8"/>
  <c r="A212" i="8" s="1"/>
  <c r="A37" i="8"/>
  <c r="I36" i="8"/>
  <c r="K35" i="7"/>
  <c r="J35" i="8"/>
  <c r="H35" i="8"/>
  <c r="F35" i="8" s="1"/>
  <c r="G35" i="8" s="1"/>
  <c r="M35" i="8" s="1"/>
  <c r="K34" i="8"/>
  <c r="A133" i="7" l="1"/>
  <c r="A214" i="7" s="1"/>
  <c r="A39" i="7"/>
  <c r="I38" i="7"/>
  <c r="A132" i="8"/>
  <c r="A213" i="8" s="1"/>
  <c r="A38" i="8"/>
  <c r="I37" i="8"/>
  <c r="J36" i="8"/>
  <c r="H36" i="8"/>
  <c r="F36" i="8" s="1"/>
  <c r="G36" i="8" s="1"/>
  <c r="M36" i="8" s="1"/>
  <c r="L36" i="7"/>
  <c r="C36" i="7"/>
  <c r="D36" i="7" s="1"/>
  <c r="L35" i="8"/>
  <c r="C35" i="8"/>
  <c r="D35" i="8" s="1"/>
  <c r="K36" i="7"/>
  <c r="K35" i="8"/>
  <c r="J37" i="7"/>
  <c r="H37" i="7"/>
  <c r="F37" i="7" s="1"/>
  <c r="G37" i="7" s="1"/>
  <c r="M37" i="7" s="1"/>
  <c r="A39" i="8" l="1"/>
  <c r="A133" i="8"/>
  <c r="A214" i="8" s="1"/>
  <c r="I38" i="8"/>
  <c r="J37" i="8"/>
  <c r="H37" i="8"/>
  <c r="F37" i="8" s="1"/>
  <c r="G37" i="8" s="1"/>
  <c r="M37" i="8" s="1"/>
  <c r="J38" i="7"/>
  <c r="H38" i="7"/>
  <c r="F38" i="7" s="1"/>
  <c r="G38" i="7" s="1"/>
  <c r="M38" i="7" s="1"/>
  <c r="L37" i="7"/>
  <c r="C37" i="7"/>
  <c r="D37" i="7" s="1"/>
  <c r="A134" i="7"/>
  <c r="A215" i="7" s="1"/>
  <c r="A40" i="7"/>
  <c r="I39" i="7"/>
  <c r="L36" i="8"/>
  <c r="C36" i="8"/>
  <c r="D36" i="8" s="1"/>
  <c r="K37" i="7"/>
  <c r="K36" i="8"/>
  <c r="A135" i="7" l="1"/>
  <c r="A216" i="7" s="1"/>
  <c r="A41" i="7"/>
  <c r="I40" i="7"/>
  <c r="J39" i="7"/>
  <c r="H39" i="7"/>
  <c r="F39" i="7" s="1"/>
  <c r="G39" i="7" s="1"/>
  <c r="M39" i="7" s="1"/>
  <c r="K37" i="8"/>
  <c r="J38" i="8"/>
  <c r="H38" i="8"/>
  <c r="F38" i="8" s="1"/>
  <c r="G38" i="8" s="1"/>
  <c r="M38" i="8" s="1"/>
  <c r="L38" i="7"/>
  <c r="C38" i="7"/>
  <c r="D38" i="7" s="1"/>
  <c r="A40" i="8"/>
  <c r="A134" i="8"/>
  <c r="A215" i="8" s="1"/>
  <c r="I39" i="8"/>
  <c r="L37" i="8"/>
  <c r="C37" i="8"/>
  <c r="D37" i="8" s="1"/>
  <c r="K38" i="7"/>
  <c r="A135" i="8" l="1"/>
  <c r="A216" i="8" s="1"/>
  <c r="A41" i="8"/>
  <c r="I40" i="8"/>
  <c r="K39" i="7"/>
  <c r="J40" i="7"/>
  <c r="H40" i="7"/>
  <c r="F40" i="7" s="1"/>
  <c r="G40" i="7" s="1"/>
  <c r="M40" i="7" s="1"/>
  <c r="L38" i="8"/>
  <c r="C38" i="8"/>
  <c r="D38" i="8" s="1"/>
  <c r="A136" i="7"/>
  <c r="A217" i="7" s="1"/>
  <c r="A42" i="7"/>
  <c r="I41" i="7"/>
  <c r="L39" i="7"/>
  <c r="C39" i="7"/>
  <c r="D39" i="7" s="1"/>
  <c r="J39" i="8"/>
  <c r="H39" i="8"/>
  <c r="F39" i="8" s="1"/>
  <c r="G39" i="8" s="1"/>
  <c r="M39" i="8" s="1"/>
  <c r="K38" i="8"/>
  <c r="L40" i="7" l="1"/>
  <c r="C40" i="7"/>
  <c r="D40" i="7" s="1"/>
  <c r="J40" i="8"/>
  <c r="H40" i="8"/>
  <c r="F40" i="8" s="1"/>
  <c r="G40" i="8" s="1"/>
  <c r="M40" i="8" s="1"/>
  <c r="J41" i="7"/>
  <c r="H41" i="7"/>
  <c r="F41" i="7" s="1"/>
  <c r="G41" i="7" s="1"/>
  <c r="M41" i="7" s="1"/>
  <c r="A43" i="7"/>
  <c r="A137" i="7"/>
  <c r="A218" i="7" s="1"/>
  <c r="I42" i="7"/>
  <c r="K40" i="7"/>
  <c r="A136" i="8"/>
  <c r="A217" i="8" s="1"/>
  <c r="A42" i="8"/>
  <c r="I41" i="8"/>
  <c r="L39" i="8"/>
  <c r="C39" i="8"/>
  <c r="D39" i="8" s="1"/>
  <c r="K39" i="8"/>
  <c r="L40" i="8" l="1"/>
  <c r="C40" i="8"/>
  <c r="D40" i="8" s="1"/>
  <c r="L41" i="7"/>
  <c r="C41" i="7"/>
  <c r="D41" i="7" s="1"/>
  <c r="K41" i="7"/>
  <c r="K40" i="8"/>
  <c r="K42" i="7"/>
  <c r="J42" i="7"/>
  <c r="H42" i="7"/>
  <c r="F42" i="7" s="1"/>
  <c r="G42" i="7" s="1"/>
  <c r="M42" i="7" s="1"/>
  <c r="A137" i="8"/>
  <c r="A218" i="8" s="1"/>
  <c r="A43" i="8"/>
  <c r="I42" i="8"/>
  <c r="J41" i="8"/>
  <c r="H41" i="8"/>
  <c r="F41" i="8" s="1"/>
  <c r="G41" i="8" s="1"/>
  <c r="M41" i="8" s="1"/>
  <c r="A138" i="7"/>
  <c r="A219" i="7" s="1"/>
  <c r="A44" i="7"/>
  <c r="I43" i="7"/>
  <c r="L41" i="8" l="1"/>
  <c r="C41" i="8"/>
  <c r="D41" i="8" s="1"/>
  <c r="J42" i="8"/>
  <c r="H42" i="8"/>
  <c r="F42" i="8" s="1"/>
  <c r="G42" i="8" s="1"/>
  <c r="M42" i="8" s="1"/>
  <c r="K41" i="8"/>
  <c r="A138" i="8"/>
  <c r="A219" i="8" s="1"/>
  <c r="A44" i="8"/>
  <c r="I43" i="8"/>
  <c r="J43" i="7"/>
  <c r="H43" i="7"/>
  <c r="F43" i="7" s="1"/>
  <c r="G43" i="7" s="1"/>
  <c r="M43" i="7" s="1"/>
  <c r="A45" i="7"/>
  <c r="A139" i="7"/>
  <c r="A220" i="7" s="1"/>
  <c r="I44" i="7"/>
  <c r="L42" i="7"/>
  <c r="C42" i="7"/>
  <c r="D42" i="7" s="1"/>
  <c r="L43" i="7" l="1"/>
  <c r="C43" i="7"/>
  <c r="D43" i="7" s="1"/>
  <c r="K43" i="7"/>
  <c r="K42" i="8"/>
  <c r="L42" i="8"/>
  <c r="C42" i="8"/>
  <c r="D42" i="8" s="1"/>
  <c r="K43" i="8"/>
  <c r="J43" i="8"/>
  <c r="H43" i="8"/>
  <c r="F43" i="8" s="1"/>
  <c r="G43" i="8" s="1"/>
  <c r="M43" i="8" s="1"/>
  <c r="A45" i="8"/>
  <c r="A139" i="8"/>
  <c r="A220" i="8" s="1"/>
  <c r="I44" i="8"/>
  <c r="A140" i="7"/>
  <c r="A221" i="7" s="1"/>
  <c r="A46" i="7"/>
  <c r="I45" i="7"/>
  <c r="J44" i="7"/>
  <c r="H44" i="7"/>
  <c r="F44" i="7" s="1"/>
  <c r="G44" i="7" s="1"/>
  <c r="M44" i="7" s="1"/>
  <c r="A141" i="7" l="1"/>
  <c r="A222" i="7" s="1"/>
  <c r="A47" i="7"/>
  <c r="I46" i="7"/>
  <c r="L44" i="7"/>
  <c r="C44" i="7"/>
  <c r="D44" i="7" s="1"/>
  <c r="K44" i="7"/>
  <c r="A140" i="8"/>
  <c r="A221" i="8" s="1"/>
  <c r="A46" i="8"/>
  <c r="I45" i="8"/>
  <c r="J44" i="8"/>
  <c r="H44" i="8"/>
  <c r="F44" i="8" s="1"/>
  <c r="G44" i="8" s="1"/>
  <c r="M44" i="8" s="1"/>
  <c r="K45" i="7"/>
  <c r="J45" i="7"/>
  <c r="H45" i="7"/>
  <c r="F45" i="7" s="1"/>
  <c r="G45" i="7" s="1"/>
  <c r="M45" i="7" s="1"/>
  <c r="L43" i="8"/>
  <c r="C43" i="8"/>
  <c r="D43" i="8" s="1"/>
  <c r="J46" i="7" l="1"/>
  <c r="H46" i="7"/>
  <c r="F46" i="7" s="1"/>
  <c r="G46" i="7" s="1"/>
  <c r="M46" i="7" s="1"/>
  <c r="K44" i="8"/>
  <c r="L44" i="8"/>
  <c r="C44" i="8"/>
  <c r="D44" i="8" s="1"/>
  <c r="K45" i="8"/>
  <c r="J45" i="8"/>
  <c r="H45" i="8"/>
  <c r="F45" i="8" s="1"/>
  <c r="G45" i="8" s="1"/>
  <c r="M45" i="8" s="1"/>
  <c r="A142" i="7"/>
  <c r="A223" i="7" s="1"/>
  <c r="A48" i="7"/>
  <c r="I47" i="7"/>
  <c r="L45" i="7"/>
  <c r="C45" i="7"/>
  <c r="D45" i="7" s="1"/>
  <c r="A141" i="8"/>
  <c r="A222" i="8" s="1"/>
  <c r="A47" i="8"/>
  <c r="I46" i="8"/>
  <c r="L46" i="7" l="1"/>
  <c r="C46" i="7"/>
  <c r="D46" i="7" s="1"/>
  <c r="J47" i="7"/>
  <c r="H47" i="7"/>
  <c r="F47" i="7" s="1"/>
  <c r="G47" i="7" s="1"/>
  <c r="M47" i="7" s="1"/>
  <c r="J46" i="8"/>
  <c r="H46" i="8"/>
  <c r="F46" i="8" s="1"/>
  <c r="G46" i="8" s="1"/>
  <c r="M46" i="8" s="1"/>
  <c r="A143" i="7"/>
  <c r="A224" i="7" s="1"/>
  <c r="A49" i="7"/>
  <c r="I48" i="7"/>
  <c r="A142" i="8"/>
  <c r="A223" i="8" s="1"/>
  <c r="A48" i="8"/>
  <c r="I47" i="8"/>
  <c r="K46" i="7"/>
  <c r="L45" i="8"/>
  <c r="C45" i="8"/>
  <c r="D45" i="8" s="1"/>
  <c r="L47" i="7" l="1"/>
  <c r="C47" i="7"/>
  <c r="D47" i="7" s="1"/>
  <c r="J48" i="7"/>
  <c r="H48" i="7"/>
  <c r="F48" i="7" s="1"/>
  <c r="G48" i="7" s="1"/>
  <c r="M48" i="7" s="1"/>
  <c r="K47" i="7"/>
  <c r="J47" i="8"/>
  <c r="K47" i="8"/>
  <c r="H47" i="8"/>
  <c r="F47" i="8" s="1"/>
  <c r="G47" i="8" s="1"/>
  <c r="M47" i="8" s="1"/>
  <c r="L46" i="8"/>
  <c r="C46" i="8"/>
  <c r="D46" i="8" s="1"/>
  <c r="A49" i="8"/>
  <c r="A143" i="8"/>
  <c r="A224" i="8" s="1"/>
  <c r="I48" i="8"/>
  <c r="K46" i="8"/>
  <c r="A144" i="7"/>
  <c r="A225" i="7" s="1"/>
  <c r="A50" i="7"/>
  <c r="I49" i="7"/>
  <c r="L48" i="7" l="1"/>
  <c r="C48" i="7"/>
  <c r="D48" i="7" s="1"/>
  <c r="A144" i="8"/>
  <c r="A225" i="8" s="1"/>
  <c r="A50" i="8"/>
  <c r="I49" i="8"/>
  <c r="K48" i="7"/>
  <c r="J49" i="7"/>
  <c r="H49" i="7"/>
  <c r="F49" i="7" s="1"/>
  <c r="G49" i="7" s="1"/>
  <c r="M49" i="7" s="1"/>
  <c r="A51" i="7"/>
  <c r="A145" i="7"/>
  <c r="A226" i="7" s="1"/>
  <c r="I50" i="7"/>
  <c r="K48" i="8"/>
  <c r="J48" i="8"/>
  <c r="H48" i="8"/>
  <c r="F48" i="8" s="1"/>
  <c r="G48" i="8" s="1"/>
  <c r="M48" i="8" s="1"/>
  <c r="L47" i="8"/>
  <c r="C47" i="8"/>
  <c r="D47" i="8" s="1"/>
  <c r="K49" i="7" l="1"/>
  <c r="J50" i="7"/>
  <c r="H50" i="7"/>
  <c r="F50" i="7" s="1"/>
  <c r="G50" i="7" s="1"/>
  <c r="M50" i="7" s="1"/>
  <c r="J49" i="8"/>
  <c r="H49" i="8"/>
  <c r="F49" i="8" s="1"/>
  <c r="G49" i="8" s="1"/>
  <c r="M49" i="8" s="1"/>
  <c r="A145" i="8"/>
  <c r="A226" i="8" s="1"/>
  <c r="A51" i="8"/>
  <c r="I50" i="8"/>
  <c r="A146" i="7"/>
  <c r="A227" i="7" s="1"/>
  <c r="A52" i="7"/>
  <c r="I51" i="7"/>
  <c r="L49" i="7"/>
  <c r="C49" i="7"/>
  <c r="D49" i="7" s="1"/>
  <c r="L48" i="8"/>
  <c r="C48" i="8"/>
  <c r="D48" i="8" s="1"/>
  <c r="A53" i="7" l="1"/>
  <c r="A147" i="7"/>
  <c r="A228" i="7" s="1"/>
  <c r="I52" i="7"/>
  <c r="K49" i="8"/>
  <c r="L50" i="7"/>
  <c r="C50" i="7"/>
  <c r="D50" i="7" s="1"/>
  <c r="K51" i="7"/>
  <c r="J51" i="7"/>
  <c r="H51" i="7"/>
  <c r="F51" i="7" s="1"/>
  <c r="G51" i="7" s="1"/>
  <c r="M51" i="7" s="1"/>
  <c r="J50" i="8"/>
  <c r="H50" i="8"/>
  <c r="F50" i="8" s="1"/>
  <c r="G50" i="8" s="1"/>
  <c r="M50" i="8" s="1"/>
  <c r="K50" i="7"/>
  <c r="L49" i="8"/>
  <c r="C49" i="8"/>
  <c r="D49" i="8" s="1"/>
  <c r="A146" i="8"/>
  <c r="A227" i="8" s="1"/>
  <c r="A52" i="8"/>
  <c r="I51" i="8"/>
  <c r="L50" i="8" l="1"/>
  <c r="C50" i="8"/>
  <c r="D50" i="8" s="1"/>
  <c r="J51" i="8"/>
  <c r="H51" i="8"/>
  <c r="F51" i="8" s="1"/>
  <c r="G51" i="8" s="1"/>
  <c r="M51" i="8" s="1"/>
  <c r="J52" i="7"/>
  <c r="H52" i="7"/>
  <c r="F52" i="7" s="1"/>
  <c r="G52" i="7" s="1"/>
  <c r="M52" i="7" s="1"/>
  <c r="K50" i="8"/>
  <c r="L51" i="7"/>
  <c r="C51" i="7"/>
  <c r="D51" i="7" s="1"/>
  <c r="A147" i="8"/>
  <c r="A228" i="8" s="1"/>
  <c r="A53" i="8"/>
  <c r="I52" i="8"/>
  <c r="A54" i="7"/>
  <c r="A148" i="7"/>
  <c r="A229" i="7" s="1"/>
  <c r="I53" i="7"/>
  <c r="J52" i="8" l="1"/>
  <c r="H52" i="8"/>
  <c r="F52" i="8" s="1"/>
  <c r="G52" i="8" s="1"/>
  <c r="M52" i="8" s="1"/>
  <c r="A54" i="8"/>
  <c r="A148" i="8"/>
  <c r="A229" i="8" s="1"/>
  <c r="I53" i="8"/>
  <c r="A149" i="7"/>
  <c r="A230" i="7" s="1"/>
  <c r="A55" i="7"/>
  <c r="I54" i="7"/>
  <c r="K52" i="7"/>
  <c r="J53" i="7"/>
  <c r="H53" i="7"/>
  <c r="F53" i="7" s="1"/>
  <c r="G53" i="7" s="1"/>
  <c r="M53" i="7" s="1"/>
  <c r="K51" i="8"/>
  <c r="L51" i="8"/>
  <c r="C51" i="8"/>
  <c r="D51" i="8" s="1"/>
  <c r="L52" i="7"/>
  <c r="C52" i="7"/>
  <c r="D52" i="7" s="1"/>
  <c r="K53" i="7" l="1"/>
  <c r="J53" i="8"/>
  <c r="H53" i="8"/>
  <c r="F53" i="8" s="1"/>
  <c r="G53" i="8" s="1"/>
  <c r="M53" i="8" s="1"/>
  <c r="A55" i="8"/>
  <c r="A149" i="8"/>
  <c r="A230" i="8" s="1"/>
  <c r="I54" i="8"/>
  <c r="L52" i="8"/>
  <c r="C52" i="8"/>
  <c r="D52" i="8" s="1"/>
  <c r="L53" i="7"/>
  <c r="C53" i="7"/>
  <c r="D53" i="7" s="1"/>
  <c r="J54" i="7"/>
  <c r="H54" i="7"/>
  <c r="F54" i="7" s="1"/>
  <c r="G54" i="7" s="1"/>
  <c r="M54" i="7" s="1"/>
  <c r="A150" i="7"/>
  <c r="A231" i="7" s="1"/>
  <c r="A56" i="7"/>
  <c r="I55" i="7"/>
  <c r="K52" i="8"/>
  <c r="L54" i="7" l="1"/>
  <c r="C54" i="7"/>
  <c r="D54" i="7" s="1"/>
  <c r="A56" i="8"/>
  <c r="A150" i="8"/>
  <c r="A231" i="8" s="1"/>
  <c r="I55" i="8"/>
  <c r="L53" i="8"/>
  <c r="C53" i="8"/>
  <c r="D53" i="8" s="1"/>
  <c r="J54" i="8"/>
  <c r="H54" i="8"/>
  <c r="F54" i="8" s="1"/>
  <c r="G54" i="8" s="1"/>
  <c r="M54" i="8" s="1"/>
  <c r="K53" i="8"/>
  <c r="K54" i="7"/>
  <c r="J55" i="7"/>
  <c r="H55" i="7"/>
  <c r="F55" i="7" s="1"/>
  <c r="G55" i="7" s="1"/>
  <c r="M55" i="7" s="1"/>
  <c r="A151" i="7"/>
  <c r="A232" i="7" s="1"/>
  <c r="A57" i="7"/>
  <c r="I56" i="7"/>
  <c r="L55" i="7" l="1"/>
  <c r="C55" i="7"/>
  <c r="D55" i="7" s="1"/>
  <c r="K55" i="7"/>
  <c r="J56" i="7"/>
  <c r="H56" i="7"/>
  <c r="F56" i="7" s="1"/>
  <c r="G56" i="7" s="1"/>
  <c r="M56" i="7" s="1"/>
  <c r="L54" i="8"/>
  <c r="C54" i="8"/>
  <c r="D54" i="8" s="1"/>
  <c r="A57" i="8"/>
  <c r="A151" i="8"/>
  <c r="A232" i="8" s="1"/>
  <c r="I56" i="8"/>
  <c r="A152" i="7"/>
  <c r="A233" i="7" s="1"/>
  <c r="A58" i="7"/>
  <c r="I57" i="7"/>
  <c r="J55" i="8"/>
  <c r="H55" i="8"/>
  <c r="F55" i="8" s="1"/>
  <c r="G55" i="8" s="1"/>
  <c r="M55" i="8" s="1"/>
  <c r="K54" i="8"/>
  <c r="A59" i="7" l="1"/>
  <c r="A153" i="7"/>
  <c r="A234" i="7" s="1"/>
  <c r="I58" i="7"/>
  <c r="J57" i="7"/>
  <c r="H57" i="7"/>
  <c r="F57" i="7" s="1"/>
  <c r="G57" i="7" s="1"/>
  <c r="M57" i="7" s="1"/>
  <c r="K56" i="8"/>
  <c r="J56" i="8"/>
  <c r="H56" i="8"/>
  <c r="F56" i="8" s="1"/>
  <c r="G56" i="8" s="1"/>
  <c r="M56" i="8" s="1"/>
  <c r="K56" i="7"/>
  <c r="L55" i="8"/>
  <c r="C55" i="8"/>
  <c r="D55" i="8" s="1"/>
  <c r="L56" i="7"/>
  <c r="C56" i="7"/>
  <c r="D56" i="7" s="1"/>
  <c r="K55" i="8"/>
  <c r="A152" i="8"/>
  <c r="A233" i="8" s="1"/>
  <c r="A58" i="8"/>
  <c r="I57" i="8"/>
  <c r="K57" i="7" l="1"/>
  <c r="J58" i="7"/>
  <c r="H58" i="7"/>
  <c r="F58" i="7" s="1"/>
  <c r="G58" i="7" s="1"/>
  <c r="M58" i="7" s="1"/>
  <c r="J57" i="8"/>
  <c r="H57" i="8"/>
  <c r="F57" i="8" s="1"/>
  <c r="G57" i="8" s="1"/>
  <c r="M57" i="8" s="1"/>
  <c r="L57" i="7"/>
  <c r="C57" i="7"/>
  <c r="D57" i="7" s="1"/>
  <c r="A153" i="8"/>
  <c r="A234" i="8" s="1"/>
  <c r="A59" i="8"/>
  <c r="I58" i="8"/>
  <c r="L56" i="8"/>
  <c r="C56" i="8"/>
  <c r="D56" i="8" s="1"/>
  <c r="A154" i="7"/>
  <c r="A235" i="7" s="1"/>
  <c r="A60" i="7"/>
  <c r="I59" i="7"/>
  <c r="K57" i="8" l="1"/>
  <c r="L58" i="7"/>
  <c r="C58" i="7"/>
  <c r="D58" i="7" s="1"/>
  <c r="L57" i="8"/>
  <c r="C57" i="8"/>
  <c r="D57" i="8" s="1"/>
  <c r="J58" i="8"/>
  <c r="H58" i="8"/>
  <c r="F58" i="8" s="1"/>
  <c r="G58" i="8" s="1"/>
  <c r="M58" i="8" s="1"/>
  <c r="J59" i="7"/>
  <c r="H59" i="7"/>
  <c r="F59" i="7" s="1"/>
  <c r="G59" i="7" s="1"/>
  <c r="M59" i="7" s="1"/>
  <c r="A154" i="8"/>
  <c r="A235" i="8" s="1"/>
  <c r="A60" i="8"/>
  <c r="I59" i="8"/>
  <c r="K58" i="7"/>
  <c r="A61" i="7"/>
  <c r="A155" i="7"/>
  <c r="A236" i="7" s="1"/>
  <c r="I60" i="7"/>
  <c r="L58" i="8" l="1"/>
  <c r="C58" i="8"/>
  <c r="D58" i="8" s="1"/>
  <c r="A155" i="8"/>
  <c r="A236" i="8" s="1"/>
  <c r="A61" i="8"/>
  <c r="I60" i="8"/>
  <c r="K60" i="7"/>
  <c r="J60" i="7"/>
  <c r="H60" i="7"/>
  <c r="F60" i="7" s="1"/>
  <c r="G60" i="7" s="1"/>
  <c r="M60" i="7" s="1"/>
  <c r="J59" i="8"/>
  <c r="H59" i="8"/>
  <c r="F59" i="8" s="1"/>
  <c r="G59" i="8" s="1"/>
  <c r="M59" i="8" s="1"/>
  <c r="K58" i="8"/>
  <c r="L59" i="7"/>
  <c r="C59" i="7"/>
  <c r="D59" i="7" s="1"/>
  <c r="A62" i="7"/>
  <c r="A156" i="7"/>
  <c r="A237" i="7" s="1"/>
  <c r="I61" i="7"/>
  <c r="K59" i="7"/>
  <c r="A157" i="7" l="1"/>
  <c r="A238" i="7" s="1"/>
  <c r="A63" i="7"/>
  <c r="I62" i="7"/>
  <c r="J60" i="8"/>
  <c r="H60" i="8"/>
  <c r="F60" i="8" s="1"/>
  <c r="G60" i="8" s="1"/>
  <c r="M60" i="8" s="1"/>
  <c r="A62" i="8"/>
  <c r="A156" i="8"/>
  <c r="A237" i="8" s="1"/>
  <c r="I61" i="8"/>
  <c r="L59" i="8"/>
  <c r="C59" i="8"/>
  <c r="D59" i="8" s="1"/>
  <c r="J61" i="7"/>
  <c r="H61" i="7"/>
  <c r="F61" i="7" s="1"/>
  <c r="G61" i="7" s="1"/>
  <c r="M61" i="7" s="1"/>
  <c r="K59" i="8"/>
  <c r="L60" i="7"/>
  <c r="C60" i="7"/>
  <c r="D60" i="7" s="1"/>
  <c r="A157" i="8" l="1"/>
  <c r="A238" i="8" s="1"/>
  <c r="A63" i="8"/>
  <c r="I62" i="8"/>
  <c r="J62" i="7"/>
  <c r="H62" i="7"/>
  <c r="F62" i="7" s="1"/>
  <c r="G62" i="7" s="1"/>
  <c r="M62" i="7" s="1"/>
  <c r="L60" i="8"/>
  <c r="C60" i="8"/>
  <c r="D60" i="8" s="1"/>
  <c r="K61" i="7"/>
  <c r="K60" i="8"/>
  <c r="A158" i="7"/>
  <c r="A239" i="7" s="1"/>
  <c r="A64" i="7"/>
  <c r="I63" i="7"/>
  <c r="L61" i="7"/>
  <c r="C61" i="7"/>
  <c r="D61" i="7" s="1"/>
  <c r="J61" i="8"/>
  <c r="H61" i="8"/>
  <c r="F61" i="8" s="1"/>
  <c r="G61" i="8" s="1"/>
  <c r="M61" i="8" s="1"/>
  <c r="J63" i="7" l="1"/>
  <c r="H63" i="7"/>
  <c r="F63" i="7" s="1"/>
  <c r="G63" i="7" s="1"/>
  <c r="M63" i="7" s="1"/>
  <c r="K62" i="7"/>
  <c r="J62" i="8"/>
  <c r="H62" i="8"/>
  <c r="F62" i="8" s="1"/>
  <c r="G62" i="8" s="1"/>
  <c r="M62" i="8" s="1"/>
  <c r="L62" i="7"/>
  <c r="C62" i="7"/>
  <c r="D62" i="7" s="1"/>
  <c r="A159" i="7"/>
  <c r="A240" i="7" s="1"/>
  <c r="A65" i="7"/>
  <c r="I64" i="7"/>
  <c r="A158" i="8"/>
  <c r="A239" i="8" s="1"/>
  <c r="A64" i="8"/>
  <c r="I63" i="8"/>
  <c r="L61" i="8"/>
  <c r="C61" i="8"/>
  <c r="D61" i="8" s="1"/>
  <c r="K61" i="8"/>
  <c r="L62" i="8" l="1"/>
  <c r="C62" i="8"/>
  <c r="D62" i="8" s="1"/>
  <c r="J64" i="7"/>
  <c r="H64" i="7"/>
  <c r="F64" i="7" s="1"/>
  <c r="G64" i="7" s="1"/>
  <c r="M64" i="7" s="1"/>
  <c r="K62" i="8"/>
  <c r="L63" i="7"/>
  <c r="C63" i="7"/>
  <c r="D63" i="7" s="1"/>
  <c r="A65" i="8"/>
  <c r="A159" i="8"/>
  <c r="A240" i="8" s="1"/>
  <c r="I64" i="8"/>
  <c r="A160" i="7"/>
  <c r="A241" i="7" s="1"/>
  <c r="A66" i="7"/>
  <c r="I65" i="7"/>
  <c r="K63" i="7"/>
  <c r="J63" i="8"/>
  <c r="H63" i="8"/>
  <c r="F63" i="8" s="1"/>
  <c r="G63" i="8" s="1"/>
  <c r="M63" i="8" s="1"/>
  <c r="A67" i="7" l="1"/>
  <c r="A161" i="7"/>
  <c r="A242" i="7" s="1"/>
  <c r="I66" i="7"/>
  <c r="J65" i="7"/>
  <c r="H65" i="7"/>
  <c r="F65" i="7" s="1"/>
  <c r="G65" i="7" s="1"/>
  <c r="M65" i="7" s="1"/>
  <c r="L64" i="7"/>
  <c r="C64" i="7"/>
  <c r="D64" i="7" s="1"/>
  <c r="L63" i="8"/>
  <c r="C63" i="8"/>
  <c r="D63" i="8" s="1"/>
  <c r="K63" i="8"/>
  <c r="K64" i="7"/>
  <c r="J64" i="8"/>
  <c r="H64" i="8"/>
  <c r="F64" i="8" s="1"/>
  <c r="G64" i="8" s="1"/>
  <c r="M64" i="8" s="1"/>
  <c r="A160" i="8"/>
  <c r="A241" i="8" s="1"/>
  <c r="A66" i="8"/>
  <c r="I65" i="8"/>
  <c r="K65" i="7" l="1"/>
  <c r="K64" i="8"/>
  <c r="L65" i="7"/>
  <c r="C65" i="7"/>
  <c r="D65" i="7" s="1"/>
  <c r="J66" i="7"/>
  <c r="H66" i="7"/>
  <c r="F66" i="7" s="1"/>
  <c r="G66" i="7" s="1"/>
  <c r="M66" i="7" s="1"/>
  <c r="L64" i="8"/>
  <c r="C64" i="8"/>
  <c r="D64" i="8" s="1"/>
  <c r="J65" i="8"/>
  <c r="H65" i="8"/>
  <c r="F65" i="8" s="1"/>
  <c r="G65" i="8" s="1"/>
  <c r="M65" i="8" s="1"/>
  <c r="A161" i="8"/>
  <c r="A242" i="8" s="1"/>
  <c r="A67" i="8"/>
  <c r="I66" i="8"/>
  <c r="A162" i="7"/>
  <c r="A243" i="7" s="1"/>
  <c r="A68" i="7"/>
  <c r="I67" i="7"/>
  <c r="J66" i="8" l="1"/>
  <c r="H66" i="8"/>
  <c r="F66" i="8" s="1"/>
  <c r="G66" i="8" s="1"/>
  <c r="M66" i="8" s="1"/>
  <c r="A162" i="8"/>
  <c r="A243" i="8" s="1"/>
  <c r="A68" i="8"/>
  <c r="I67" i="8"/>
  <c r="L65" i="8"/>
  <c r="C65" i="8"/>
  <c r="D65" i="8" s="1"/>
  <c r="L66" i="7"/>
  <c r="C66" i="7"/>
  <c r="D66" i="7" s="1"/>
  <c r="K66" i="7"/>
  <c r="J67" i="7"/>
  <c r="H67" i="7"/>
  <c r="F67" i="7" s="1"/>
  <c r="G67" i="7" s="1"/>
  <c r="M67" i="7" s="1"/>
  <c r="A69" i="7"/>
  <c r="A163" i="7"/>
  <c r="A244" i="7" s="1"/>
  <c r="I68" i="7"/>
  <c r="K65" i="8"/>
  <c r="K67" i="7" l="1"/>
  <c r="L66" i="8"/>
  <c r="C66" i="8"/>
  <c r="D66" i="8" s="1"/>
  <c r="L67" i="7"/>
  <c r="C67" i="7"/>
  <c r="D67" i="7" s="1"/>
  <c r="A70" i="7"/>
  <c r="A164" i="7"/>
  <c r="A245" i="7" s="1"/>
  <c r="I69" i="7"/>
  <c r="J67" i="8"/>
  <c r="H67" i="8"/>
  <c r="F67" i="8" s="1"/>
  <c r="G67" i="8" s="1"/>
  <c r="M67" i="8" s="1"/>
  <c r="A163" i="8"/>
  <c r="A244" i="8" s="1"/>
  <c r="A69" i="8"/>
  <c r="I68" i="8"/>
  <c r="J68" i="7"/>
  <c r="H68" i="7"/>
  <c r="F68" i="7" s="1"/>
  <c r="G68" i="7" s="1"/>
  <c r="M68" i="7" s="1"/>
  <c r="K66" i="8"/>
  <c r="A165" i="7" l="1"/>
  <c r="A246" i="7" s="1"/>
  <c r="A71" i="7"/>
  <c r="I70" i="7"/>
  <c r="A70" i="8"/>
  <c r="A164" i="8"/>
  <c r="A245" i="8" s="1"/>
  <c r="I69" i="8"/>
  <c r="J68" i="8"/>
  <c r="H68" i="8"/>
  <c r="F68" i="8" s="1"/>
  <c r="G68" i="8" s="1"/>
  <c r="M68" i="8" s="1"/>
  <c r="L68" i="7"/>
  <c r="C68" i="7"/>
  <c r="D68" i="7" s="1"/>
  <c r="K67" i="8"/>
  <c r="L67" i="8"/>
  <c r="C67" i="8"/>
  <c r="D67" i="8" s="1"/>
  <c r="K68" i="7"/>
  <c r="J69" i="7"/>
  <c r="H69" i="7"/>
  <c r="F69" i="7" s="1"/>
  <c r="G69" i="7" s="1"/>
  <c r="M69" i="7" s="1"/>
  <c r="A165" i="8" l="1"/>
  <c r="A246" i="8" s="1"/>
  <c r="A71" i="8"/>
  <c r="I70" i="8"/>
  <c r="L69" i="7"/>
  <c r="C69" i="7"/>
  <c r="D69" i="7" s="1"/>
  <c r="K70" i="7"/>
  <c r="J70" i="7"/>
  <c r="H70" i="7"/>
  <c r="F70" i="7" s="1"/>
  <c r="G70" i="7" s="1"/>
  <c r="M70" i="7" s="1"/>
  <c r="A166" i="7"/>
  <c r="A247" i="7" s="1"/>
  <c r="A72" i="7"/>
  <c r="I71" i="7"/>
  <c r="J69" i="8"/>
  <c r="H69" i="8"/>
  <c r="F69" i="8" s="1"/>
  <c r="G69" i="8" s="1"/>
  <c r="M69" i="8" s="1"/>
  <c r="L68" i="8"/>
  <c r="C68" i="8"/>
  <c r="D68" i="8" s="1"/>
  <c r="K69" i="7"/>
  <c r="K68" i="8"/>
  <c r="K69" i="8" l="1"/>
  <c r="J71" i="7"/>
  <c r="H71" i="7"/>
  <c r="F71" i="7" s="1"/>
  <c r="G71" i="7" s="1"/>
  <c r="M71" i="7" s="1"/>
  <c r="L69" i="8"/>
  <c r="C69" i="8"/>
  <c r="D69" i="8" s="1"/>
  <c r="K70" i="8"/>
  <c r="J70" i="8"/>
  <c r="H70" i="8"/>
  <c r="F70" i="8" s="1"/>
  <c r="G70" i="8" s="1"/>
  <c r="M70" i="8" s="1"/>
  <c r="A167" i="7"/>
  <c r="A248" i="7" s="1"/>
  <c r="A73" i="7"/>
  <c r="I72" i="7"/>
  <c r="A166" i="8"/>
  <c r="A247" i="8" s="1"/>
  <c r="A72" i="8"/>
  <c r="I71" i="8"/>
  <c r="L70" i="7"/>
  <c r="C70" i="7"/>
  <c r="D70" i="7" s="1"/>
  <c r="A168" i="7" l="1"/>
  <c r="A249" i="7" s="1"/>
  <c r="A74" i="7"/>
  <c r="I73" i="7"/>
  <c r="L71" i="7"/>
  <c r="C71" i="7"/>
  <c r="D71" i="7" s="1"/>
  <c r="K71" i="7"/>
  <c r="A73" i="8"/>
  <c r="A167" i="8"/>
  <c r="A248" i="8" s="1"/>
  <c r="I72" i="8"/>
  <c r="J72" i="7"/>
  <c r="H72" i="7"/>
  <c r="F72" i="7" s="1"/>
  <c r="G72" i="7" s="1"/>
  <c r="M72" i="7" s="1"/>
  <c r="J71" i="8"/>
  <c r="K71" i="8"/>
  <c r="H71" i="8"/>
  <c r="F71" i="8" s="1"/>
  <c r="G71" i="8" s="1"/>
  <c r="M71" i="8" s="1"/>
  <c r="L70" i="8"/>
  <c r="C70" i="8"/>
  <c r="D70" i="8" s="1"/>
  <c r="L72" i="7" l="1"/>
  <c r="C72" i="7"/>
  <c r="D72" i="7" s="1"/>
  <c r="J73" i="7"/>
  <c r="H73" i="7"/>
  <c r="F73" i="7" s="1"/>
  <c r="G73" i="7" s="1"/>
  <c r="M73" i="7" s="1"/>
  <c r="A168" i="8"/>
  <c r="A249" i="8" s="1"/>
  <c r="A74" i="8"/>
  <c r="I73" i="8"/>
  <c r="K72" i="7"/>
  <c r="J72" i="8"/>
  <c r="H72" i="8"/>
  <c r="F72" i="8" s="1"/>
  <c r="G72" i="8" s="1"/>
  <c r="M72" i="8" s="1"/>
  <c r="A75" i="7"/>
  <c r="A169" i="7"/>
  <c r="A250" i="7" s="1"/>
  <c r="I74" i="7"/>
  <c r="L71" i="8"/>
  <c r="C71" i="8"/>
  <c r="D71" i="8" s="1"/>
  <c r="K73" i="7" l="1"/>
  <c r="L72" i="8"/>
  <c r="C72" i="8"/>
  <c r="D72" i="8" s="1"/>
  <c r="K72" i="8"/>
  <c r="A169" i="8"/>
  <c r="A250" i="8" s="1"/>
  <c r="A75" i="8"/>
  <c r="I74" i="8"/>
  <c r="A170" i="7"/>
  <c r="A251" i="7" s="1"/>
  <c r="A76" i="7"/>
  <c r="I75" i="7"/>
  <c r="L73" i="7"/>
  <c r="C73" i="7"/>
  <c r="D73" i="7" s="1"/>
  <c r="K74" i="7"/>
  <c r="J74" i="7"/>
  <c r="H74" i="7"/>
  <c r="F74" i="7" s="1"/>
  <c r="G74" i="7" s="1"/>
  <c r="M74" i="7" s="1"/>
  <c r="J73" i="8"/>
  <c r="H73" i="8"/>
  <c r="F73" i="8" s="1"/>
  <c r="G73" i="8" s="1"/>
  <c r="M73" i="8" s="1"/>
  <c r="A170" i="8" l="1"/>
  <c r="A251" i="8" s="1"/>
  <c r="A76" i="8"/>
  <c r="I75" i="8"/>
  <c r="J74" i="8"/>
  <c r="H74" i="8"/>
  <c r="F74" i="8" s="1"/>
  <c r="G74" i="8" s="1"/>
  <c r="M74" i="8" s="1"/>
  <c r="K75" i="7"/>
  <c r="J75" i="7"/>
  <c r="H75" i="7"/>
  <c r="F75" i="7" s="1"/>
  <c r="G75" i="7" s="1"/>
  <c r="M75" i="7" s="1"/>
  <c r="K73" i="8"/>
  <c r="A77" i="7"/>
  <c r="A171" i="7"/>
  <c r="A252" i="7" s="1"/>
  <c r="I76" i="7"/>
  <c r="L73" i="8"/>
  <c r="C73" i="8"/>
  <c r="D73" i="8" s="1"/>
  <c r="L74" i="7"/>
  <c r="C74" i="7"/>
  <c r="D74" i="7" s="1"/>
  <c r="K74" i="8" l="1"/>
  <c r="A78" i="7"/>
  <c r="A172" i="7"/>
  <c r="A253" i="7" s="1"/>
  <c r="I77" i="7"/>
  <c r="J75" i="8"/>
  <c r="H75" i="8"/>
  <c r="F75" i="8" s="1"/>
  <c r="G75" i="8" s="1"/>
  <c r="M75" i="8" s="1"/>
  <c r="L74" i="8"/>
  <c r="C74" i="8"/>
  <c r="D74" i="8" s="1"/>
  <c r="L75" i="7"/>
  <c r="C75" i="7"/>
  <c r="D75" i="7" s="1"/>
  <c r="A77" i="8"/>
  <c r="A171" i="8"/>
  <c r="A252" i="8" s="1"/>
  <c r="I76" i="8"/>
  <c r="J76" i="7"/>
  <c r="H76" i="7"/>
  <c r="F76" i="7" s="1"/>
  <c r="G76" i="7" s="1"/>
  <c r="M76" i="7" s="1"/>
  <c r="L75" i="8" l="1"/>
  <c r="C75" i="8"/>
  <c r="D75" i="8" s="1"/>
  <c r="J77" i="7"/>
  <c r="H77" i="7"/>
  <c r="F77" i="7" s="1"/>
  <c r="G77" i="7" s="1"/>
  <c r="M77" i="7" s="1"/>
  <c r="J76" i="8"/>
  <c r="H76" i="8"/>
  <c r="F76" i="8" s="1"/>
  <c r="G76" i="8" s="1"/>
  <c r="M76" i="8" s="1"/>
  <c r="A78" i="8"/>
  <c r="A172" i="8"/>
  <c r="A253" i="8" s="1"/>
  <c r="I77" i="8"/>
  <c r="K75" i="8"/>
  <c r="A173" i="7"/>
  <c r="A254" i="7" s="1"/>
  <c r="A79" i="7"/>
  <c r="I78" i="7"/>
  <c r="L76" i="7"/>
  <c r="C76" i="7"/>
  <c r="D76" i="7" s="1"/>
  <c r="K76" i="7"/>
  <c r="L77" i="7" l="1"/>
  <c r="C77" i="7"/>
  <c r="D77" i="7" s="1"/>
  <c r="A174" i="7"/>
  <c r="A255" i="7" s="1"/>
  <c r="A80" i="7"/>
  <c r="I79" i="7"/>
  <c r="K77" i="7"/>
  <c r="L76" i="8"/>
  <c r="C76" i="8"/>
  <c r="D76" i="8" s="1"/>
  <c r="K76" i="8"/>
  <c r="J77" i="8"/>
  <c r="H77" i="8"/>
  <c r="F77" i="8" s="1"/>
  <c r="G77" i="8" s="1"/>
  <c r="M77" i="8" s="1"/>
  <c r="J78" i="7"/>
  <c r="H78" i="7"/>
  <c r="F78" i="7" s="1"/>
  <c r="G78" i="7" s="1"/>
  <c r="M78" i="7" s="1"/>
  <c r="A79" i="8"/>
  <c r="A173" i="8"/>
  <c r="A254" i="8" s="1"/>
  <c r="I78" i="8"/>
  <c r="K78" i="7" l="1"/>
  <c r="K77" i="8"/>
  <c r="A175" i="7"/>
  <c r="A256" i="7" s="1"/>
  <c r="I80" i="7"/>
  <c r="J79" i="7"/>
  <c r="H79" i="7"/>
  <c r="F79" i="7" s="1"/>
  <c r="G79" i="7" s="1"/>
  <c r="M79" i="7" s="1"/>
  <c r="L78" i="7"/>
  <c r="C78" i="7"/>
  <c r="D78" i="7" s="1"/>
  <c r="L77" i="8"/>
  <c r="C77" i="8"/>
  <c r="D77" i="8" s="1"/>
  <c r="J78" i="8"/>
  <c r="H78" i="8"/>
  <c r="F78" i="8" s="1"/>
  <c r="G78" i="8" s="1"/>
  <c r="M78" i="8" s="1"/>
  <c r="A80" i="8"/>
  <c r="A174" i="8"/>
  <c r="A255" i="8" s="1"/>
  <c r="I79" i="8"/>
  <c r="L78" i="8" l="1"/>
  <c r="C78" i="8"/>
  <c r="D78" i="8" s="1"/>
  <c r="L79" i="7"/>
  <c r="C79" i="7"/>
  <c r="D79" i="7" s="1"/>
  <c r="J80" i="7"/>
  <c r="H80" i="7"/>
  <c r="F80" i="7" s="1"/>
  <c r="G80" i="7" s="1"/>
  <c r="M80" i="7" s="1"/>
  <c r="J79" i="8"/>
  <c r="H79" i="8"/>
  <c r="F79" i="8" s="1"/>
  <c r="G79" i="8" s="1"/>
  <c r="M79" i="8" s="1"/>
  <c r="K79" i="7"/>
  <c r="K78" i="8"/>
  <c r="A175" i="8"/>
  <c r="A256" i="8" s="1"/>
  <c r="I80" i="8"/>
  <c r="L80" i="7" l="1"/>
  <c r="C80" i="7"/>
  <c r="C67" i="3"/>
  <c r="K80" i="7"/>
  <c r="J80" i="8"/>
  <c r="H80" i="8"/>
  <c r="F80" i="8" s="1"/>
  <c r="G80" i="8" s="1"/>
  <c r="M80" i="8" s="1"/>
  <c r="L79" i="8"/>
  <c r="C79" i="8"/>
  <c r="D79" i="8" s="1"/>
  <c r="K79" i="8"/>
  <c r="D80" i="7" l="1"/>
  <c r="B3" i="5" s="1"/>
  <c r="D3" i="5" s="1"/>
  <c r="B2" i="5"/>
  <c r="D2" i="5" s="1"/>
  <c r="L80" i="8"/>
  <c r="C80" i="8"/>
  <c r="K80" i="8"/>
  <c r="D80" i="8" l="1"/>
  <c r="B39" i="5" s="1"/>
  <c r="B3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00000000-0006-0000-0100-000001000000}">
      <text>
        <r>
          <rPr>
            <sz val="10"/>
            <color rgb="FF000000"/>
            <rFont val="Arial"/>
          </rPr>
          <t>This is a value that is difficult to estimate. Use 0.015 to get started. The estimate can be improved with MachUp.</t>
        </r>
      </text>
    </comment>
    <comment ref="B21" authorId="0" shapeId="0" xr:uid="{00000000-0006-0000-0100-000002000000}">
      <text>
        <r>
          <rPr>
            <sz val="10"/>
            <color rgb="FF000000"/>
            <rFont val="Arial"/>
          </rPr>
          <t>This is the weight of everything except the flight batteries and the payload.</t>
        </r>
      </text>
    </comment>
    <comment ref="B27" authorId="0" shapeId="0" xr:uid="{00000000-0006-0000-0100-000003000000}">
      <text>
        <r>
          <rPr>
            <sz val="10"/>
            <color rgb="FF000000"/>
            <rFont val="Arial"/>
          </rPr>
          <t xml:space="preserve">This is a value that is difficult to estimate. Use 0.03 to get started.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4" authorId="0" shapeId="0" xr:uid="{00000000-0006-0000-0200-000001000000}">
      <text>
        <r>
          <rPr>
            <sz val="10"/>
            <color rgb="FF000000"/>
            <rFont val="Arial"/>
          </rPr>
          <t>See the Cell Voltage reference table</t>
        </r>
      </text>
    </comment>
    <comment ref="B58" authorId="0" shapeId="0" xr:uid="{00000000-0006-0000-0200-000002000000}">
      <text>
        <r>
          <rPr>
            <sz val="10"/>
            <color rgb="FF000000"/>
            <rFont val="Arial"/>
          </rPr>
          <t>Voltage = Cell Voltage x Cells in Series</t>
        </r>
      </text>
    </comment>
    <comment ref="B59" authorId="0" shapeId="0" xr:uid="{00000000-0006-0000-0200-000003000000}">
      <text>
        <r>
          <rPr>
            <sz val="10"/>
            <color rgb="FF000000"/>
            <rFont val="Arial"/>
          </rPr>
          <t xml:space="preserve">Very dependendent on Energy Density. To match the weight of the actually batteries you chose, change the Energy Density value until this weight is correct. </t>
        </r>
      </text>
    </comment>
    <comment ref="B60" authorId="0" shapeId="0" xr:uid="{00000000-0006-0000-0200-000004000000}">
      <text>
        <r>
          <rPr>
            <sz val="10"/>
            <color rgb="FF000000"/>
            <rFont val="Arial"/>
          </rPr>
          <t xml:space="preserve">The percentage of the total capacity used before landing. Exceeding 90% will likely damage the batteries.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300-000001000000}">
      <text>
        <r>
          <rPr>
            <sz val="10"/>
            <color rgb="FF000000"/>
            <rFont val="Arial"/>
          </rPr>
          <t>This is a value that is difficult to estimate. Use 0.015 to get started. The estimate can be improved with MachUp.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400-000001000000}">
      <text>
        <r>
          <rPr>
            <sz val="10"/>
            <color rgb="FF000000"/>
            <rFont val="Arial"/>
          </rPr>
          <t>Enter your Endurance Requirement here. If endurance isn't your goal, set it to zero.</t>
        </r>
      </text>
    </comment>
    <comment ref="A3" authorId="0" shapeId="0" xr:uid="{00000000-0006-0000-0400-000002000000}">
      <text>
        <r>
          <rPr>
            <sz val="10"/>
            <color rgb="FF000000"/>
            <rFont val="Arial"/>
          </rPr>
          <t>Enter your Range Requirement here. If Range isn't your goal, set it to zero.</t>
        </r>
      </text>
    </comment>
    <comment ref="A5" authorId="0" shapeId="0" xr:uid="{00000000-0006-0000-0400-000003000000}">
      <text>
        <r>
          <rPr>
            <sz val="10"/>
            <color rgb="FF000000"/>
            <rFont val="Arial"/>
          </rPr>
          <t>The difference between the Cruise Airspeed and the Min Airspeed.</t>
        </r>
      </text>
    </comment>
    <comment ref="A29" authorId="0" shapeId="0" xr:uid="{00000000-0006-0000-0400-000004000000}">
      <text>
        <r>
          <rPr>
            <sz val="10"/>
            <color rgb="FF000000"/>
            <rFont val="Arial"/>
          </rPr>
          <t>Enter your Endurance Requirement here. If endurance isn't your goal, set it to zero.</t>
        </r>
      </text>
    </comment>
    <comment ref="A36" authorId="0" shapeId="0" xr:uid="{00000000-0006-0000-0400-000005000000}">
      <text>
        <r>
          <rPr>
            <sz val="10"/>
            <color rgb="FF000000"/>
            <rFont val="Arial"/>
          </rPr>
          <t>Enter your Endurance Requirement here. If endurance isn't your goal, set it to zero.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500-000001000000}">
      <text>
        <r>
          <rPr>
            <sz val="10"/>
            <color rgb="FF000000"/>
            <rFont val="Arial"/>
          </rPr>
          <t>Enter your Endurance Requirement here. If endurance isn't your goal, set it to zero.</t>
        </r>
      </text>
    </comment>
    <comment ref="B4" authorId="0" shapeId="0" xr:uid="{00000000-0006-0000-0500-000002000000}">
      <text>
        <r>
          <rPr>
            <sz val="10"/>
            <color rgb="FF000000"/>
            <rFont val="Arial"/>
          </rPr>
          <t>Enter your Range Requirement here. If Range isn't your goal, set it to zero.</t>
        </r>
      </text>
    </comment>
    <comment ref="B5" authorId="0" shapeId="0" xr:uid="{00000000-0006-0000-0500-000003000000}">
      <text>
        <r>
          <rPr>
            <sz val="10"/>
            <color rgb="FF000000"/>
            <rFont val="Arial"/>
          </rPr>
          <t>The difference between the Cruise Airspeed and the Min Airspeed.</t>
        </r>
      </text>
    </comment>
    <comment ref="B10" authorId="0" shapeId="0" xr:uid="{00000000-0006-0000-0500-000004000000}">
      <text>
        <r>
          <rPr>
            <sz val="10"/>
            <color rgb="FF000000"/>
            <rFont val="Arial"/>
          </rPr>
          <t>Enter your Endurance Requirement here. If endurance isn't your goal, set it to zero.</t>
        </r>
      </text>
    </comment>
    <comment ref="B12" authorId="0" shapeId="0" xr:uid="{00000000-0006-0000-0500-000005000000}">
      <text>
        <r>
          <rPr>
            <sz val="10"/>
            <color rgb="FF000000"/>
            <rFont val="Arial"/>
          </rPr>
          <t>In this mission, the aircraft takes off and lands conventionally and flies out some radius to the destination, where it must hover for some time.</t>
        </r>
      </text>
    </comment>
    <comment ref="B13" authorId="0" shapeId="0" xr:uid="{00000000-0006-0000-0500-000006000000}">
      <text>
        <r>
          <rPr>
            <sz val="10"/>
            <color rgb="FF000000"/>
            <rFont val="Arial"/>
          </rPr>
          <t>This is the time that the vehicle must hover at the destination.</t>
        </r>
      </text>
    </comment>
    <comment ref="B14" authorId="0" shapeId="0" xr:uid="{00000000-0006-0000-0500-000007000000}">
      <text>
        <r>
          <rPr>
            <sz val="10"/>
            <color rgb="FF000000"/>
            <rFont val="Arial"/>
          </rPr>
          <t>Enter your Endurance Requirement here. If endurance isn't your goal, set it to zero.</t>
        </r>
      </text>
    </comment>
    <comment ref="B15" authorId="0" shapeId="0" xr:uid="{00000000-0006-0000-0500-000008000000}">
      <text>
        <r>
          <rPr>
            <sz val="10"/>
            <color rgb="FF000000"/>
            <rFont val="Arial"/>
          </rPr>
          <t>Enter your Range Requirement here. If Range isn't your goal, set it to zero.</t>
        </r>
      </text>
    </comment>
    <comment ref="B17" authorId="0" shapeId="0" xr:uid="{00000000-0006-0000-0500-000009000000}">
      <text>
        <r>
          <rPr>
            <sz val="10"/>
            <color rgb="FF000000"/>
            <rFont val="Arial"/>
          </rPr>
          <t>In this mission, the aircraft takes off and lands conventionally and flies out some radius to the destination, where it must hover for some time.</t>
        </r>
      </text>
    </comment>
    <comment ref="B19" authorId="0" shapeId="0" xr:uid="{00000000-0006-0000-0500-00000A000000}">
      <text>
        <r>
          <rPr>
            <sz val="10"/>
            <color rgb="FF000000"/>
            <rFont val="Arial"/>
          </rPr>
          <t>This is the time that the vehicle must hover at the destination. Be sure to include transition time.</t>
        </r>
      </text>
    </comment>
    <comment ref="B20" authorId="0" shapeId="0" xr:uid="{00000000-0006-0000-0500-00000B000000}">
      <text>
        <r>
          <rPr>
            <sz val="10"/>
            <color rgb="FF000000"/>
            <rFont val="Arial"/>
          </rPr>
          <t>Enter your Endurance Requirement here. If endurance isn't your goal, set it to zero.</t>
        </r>
      </text>
    </comment>
    <comment ref="B21" authorId="0" shapeId="0" xr:uid="{00000000-0006-0000-0500-00000C000000}">
      <text>
        <r>
          <rPr>
            <sz val="10"/>
            <color rgb="FF000000"/>
            <rFont val="Arial"/>
          </rPr>
          <t>Enter your Range Requirement here. If Range isn't your goal, set it to zero.</t>
        </r>
      </text>
    </comment>
    <comment ref="B22" authorId="0" shapeId="0" xr:uid="{00000000-0006-0000-0500-00000D000000}">
      <text>
        <r>
          <rPr>
            <sz val="10"/>
            <color rgb="FF000000"/>
            <rFont val="Arial"/>
          </rPr>
          <t>The difference between the Cruise Airspeed and the Min Airspeed.</t>
        </r>
      </text>
    </comment>
  </commentList>
</comments>
</file>

<file path=xl/sharedStrings.xml><?xml version="1.0" encoding="utf-8"?>
<sst xmlns="http://schemas.openxmlformats.org/spreadsheetml/2006/main" count="859" uniqueCount="360">
  <si>
    <t>Concepts for Vehicle Improvement (for study):</t>
  </si>
  <si>
    <t>aerodynamic instability for better hovering stability--Including eliminating roll/rudder-coupling</t>
  </si>
  <si>
    <t>Computer-augmented stability in forward flight to fix the problem created by the above</t>
  </si>
  <si>
    <t>Possible Solar-augmented power system --- Need to do the trade study against having more batteries</t>
  </si>
  <si>
    <t>Don't have exposed landing gear. Less Drag</t>
  </si>
  <si>
    <t>Gotta Streamline the the vtol motor mounts, make the pivot system lightweight</t>
  </si>
  <si>
    <t>Swappable Hybrid-Electric Generator</t>
  </si>
  <si>
    <t>Long-range communications and telemetry</t>
  </si>
  <si>
    <t>Increase the aircraft wing-loading for higher cruise speed</t>
  </si>
  <si>
    <t>Current concept or Flying Wing? → WHAT ELSE?</t>
  </si>
  <si>
    <t>Things to Improve or Implemet:</t>
  </si>
  <si>
    <t>Better aerodynamic models for various shapes</t>
  </si>
  <si>
    <t>Better Motor models Models, especially for the forward motors. Include a dynamic thrust curve</t>
  </si>
  <si>
    <t>Therefore a less-bad performance model</t>
  </si>
  <si>
    <t>Look into improving the Solar Panel Model. What kinds of panels are available, and what really is the realistic power performance?</t>
  </si>
  <si>
    <t>Payload</t>
  </si>
  <si>
    <t>Mass (kg)</t>
  </si>
  <si>
    <t>X-axis Position</t>
  </si>
  <si>
    <t>Other Payload</t>
  </si>
  <si>
    <t>kg</t>
  </si>
  <si>
    <t>??????????????</t>
  </si>
  <si>
    <t>lbs</t>
  </si>
  <si>
    <t>Receiver</t>
  </si>
  <si>
    <t>Satellite Receiver</t>
  </si>
  <si>
    <t>Pixhawk Weight</t>
  </si>
  <si>
    <t>Approximate, probably under-estimate</t>
  </si>
  <si>
    <t>GPS Antenna</t>
  </si>
  <si>
    <t>Doesn't inlclude any wire extensions that may be needed</t>
  </si>
  <si>
    <t>Cell Hardware</t>
  </si>
  <si>
    <t>Glow-stick Dropper</t>
  </si>
  <si>
    <t>individual solar panel</t>
  </si>
  <si>
    <t>Approximation</t>
  </si>
  <si>
    <t>Solar power regulation hardware</t>
  </si>
  <si>
    <t>Just the device, not including wires</t>
  </si>
  <si>
    <t>Total solar weight</t>
  </si>
  <si>
    <t>seems optimistic. Does not include wire.</t>
  </si>
  <si>
    <t>camera 1</t>
  </si>
  <si>
    <t>camera 2</t>
  </si>
  <si>
    <t>Camera Mounting Hardware</t>
  </si>
  <si>
    <t>Cameras and hardware total</t>
  </si>
  <si>
    <t>Aircraft</t>
  </si>
  <si>
    <t>Torque Calculation of Motor Pivot</t>
  </si>
  <si>
    <t>Validation that moving pivot axis beneath motor is practical</t>
  </si>
  <si>
    <t>Fuselage Structure weight</t>
  </si>
  <si>
    <t>Measured with aft incomplete</t>
  </si>
  <si>
    <t>mass</t>
  </si>
  <si>
    <t>Wing center Structure weight</t>
  </si>
  <si>
    <t>Update this please</t>
  </si>
  <si>
    <t>force</t>
  </si>
  <si>
    <t>N</t>
  </si>
  <si>
    <t>Outer Wing Structure mass (1 side)</t>
  </si>
  <si>
    <t>Currently measured as .342</t>
  </si>
  <si>
    <t>lever</t>
  </si>
  <si>
    <t>in</t>
  </si>
  <si>
    <t>Nose Landing Gear</t>
  </si>
  <si>
    <t>Main Gear</t>
  </si>
  <si>
    <t>Update this</t>
  </si>
  <si>
    <t>Tail Structure mass</t>
  </si>
  <si>
    <t>Measured v-tail only. No Rudder</t>
  </si>
  <si>
    <t>Weight per Flight Cont servo</t>
  </si>
  <si>
    <t>HS-645MG</t>
  </si>
  <si>
    <t>m</t>
  </si>
  <si>
    <t>Motor 1 weight (with prop)</t>
  </si>
  <si>
    <t>Static Torque</t>
  </si>
  <si>
    <t>N*m</t>
  </si>
  <si>
    <t>Motor 2 weight (with prop)</t>
  </si>
  <si>
    <t>Motor 3 weight (with prop)</t>
  </si>
  <si>
    <t>Mass Estimation of VTOL arm</t>
  </si>
  <si>
    <t>assuming cylindrical shape</t>
  </si>
  <si>
    <t>Motor 4 weight (with prop)</t>
  </si>
  <si>
    <t>Carbon Fiber Thickness</t>
  </si>
  <si>
    <t>Motor mounting hardware</t>
  </si>
  <si>
    <t>diameter</t>
  </si>
  <si>
    <t>ESC 1</t>
  </si>
  <si>
    <t>length</t>
  </si>
  <si>
    <t>ESC 2</t>
  </si>
  <si>
    <t>Volume:</t>
  </si>
  <si>
    <t>m^3</t>
  </si>
  <si>
    <t>ESC 3</t>
  </si>
  <si>
    <t>Foam Mass</t>
  </si>
  <si>
    <t>ESC 4</t>
  </si>
  <si>
    <t>Carbon Fiber Vol</t>
  </si>
  <si>
    <t>Weight of VTOL Motor Mountings</t>
  </si>
  <si>
    <t>0.324 est on inventor, w/o foam. Wood arms were .322, composite estimate is ~.250 per side (including servos and pivot mounts) as of 4/8/2020. Mass of right composite arm (not including anything else) is ~146</t>
  </si>
  <si>
    <t>Carbon Fiber Density</t>
  </si>
  <si>
    <t>kg/m^3</t>
  </si>
  <si>
    <t>Mass of 1 Motor Arm &amp; power sys</t>
  </si>
  <si>
    <t>Carbon Fiber Mass</t>
  </si>
  <si>
    <t>Engine Mass:</t>
  </si>
  <si>
    <t>needs updated</t>
  </si>
  <si>
    <t>Generator Mass:</t>
  </si>
  <si>
    <t>Mounting, Gearing, other hybrid mass</t>
  </si>
  <si>
    <t>Fuel (Gasoline) Density:</t>
  </si>
  <si>
    <t>Does not account for oil density difference</t>
  </si>
  <si>
    <t>Fuel Volume:</t>
  </si>
  <si>
    <t>Liters</t>
  </si>
  <si>
    <t>Gal</t>
  </si>
  <si>
    <t>cm^3</t>
  </si>
  <si>
    <t>Fuel Mass Carried</t>
  </si>
  <si>
    <t>Energy Density</t>
  </si>
  <si>
    <t>W-h/kg</t>
  </si>
  <si>
    <t>Total Battery mass</t>
  </si>
  <si>
    <t>Estimated Arm Mass:</t>
  </si>
  <si>
    <t>Inner Pivot Mount Mass</t>
  </si>
  <si>
    <t>Outer Pivot Mount mass</t>
  </si>
  <si>
    <t>Total Vehicle</t>
  </si>
  <si>
    <t>Pivot mount total:</t>
  </si>
  <si>
    <t>Payload Mass Fraction:</t>
  </si>
  <si>
    <t>Original Airframe Mass Fraction:</t>
  </si>
  <si>
    <t>dim.</t>
  </si>
  <si>
    <t>Total (single) Arm:</t>
  </si>
  <si>
    <t>Est Solar Power Mass Fraction</t>
  </si>
  <si>
    <t>This is not including wiring</t>
  </si>
  <si>
    <t>Motor-Arms including power system Mass Fraction</t>
  </si>
  <si>
    <t>Battery Mass as a fraction of all-up Mass:</t>
  </si>
  <si>
    <t>Fuel Mass as a fraction of all-up Mass:</t>
  </si>
  <si>
    <t>All-up Mass (kg)</t>
  </si>
  <si>
    <t>(C-G Location)</t>
  </si>
  <si>
    <t>All-up Weight (Newtons):</t>
  </si>
  <si>
    <t>All-up Weight (lbs)</t>
  </si>
  <si>
    <t>Motors in Hover:</t>
  </si>
  <si>
    <t>Motor 1 Selection:</t>
  </si>
  <si>
    <t>Front Left</t>
  </si>
  <si>
    <t>Power = F(thrust) Eq:</t>
  </si>
  <si>
    <t>W=f(kg)</t>
  </si>
  <si>
    <t>A:</t>
  </si>
  <si>
    <t>Thrust = F(power) Eq:</t>
  </si>
  <si>
    <t>B:</t>
  </si>
  <si>
    <t>C:</t>
  </si>
  <si>
    <t>Max Thrust:</t>
  </si>
  <si>
    <t>Motor 2 Selection:</t>
  </si>
  <si>
    <t>Front Right</t>
  </si>
  <si>
    <t>Motor 3 Selection:</t>
  </si>
  <si>
    <t>Aft Motor</t>
  </si>
  <si>
    <t>Motor 4 Selection:</t>
  </si>
  <si>
    <t>Motors in Cruise:</t>
  </si>
  <si>
    <r>
      <t xml:space="preserve">Max </t>
    </r>
    <r>
      <rPr>
        <i/>
        <sz val="10"/>
        <rFont val="Arial"/>
      </rPr>
      <t xml:space="preserve">Static </t>
    </r>
    <r>
      <rPr>
        <sz val="10"/>
        <color rgb="FF000000"/>
        <rFont val="Arial"/>
      </rPr>
      <t>Thrust:</t>
    </r>
  </si>
  <si>
    <t>Hybrid-Electric System</t>
  </si>
  <si>
    <t>Energy Density of Gasoline</t>
  </si>
  <si>
    <t>J/kg</t>
  </si>
  <si>
    <t>Fuel/Total</t>
  </si>
  <si>
    <t>Use this to adjust the oil quantity in the fuel mixture</t>
  </si>
  <si>
    <t>Engine/Generator Power conv eff.</t>
  </si>
  <si>
    <t>Engine Nominal Fuel Consumption</t>
  </si>
  <si>
    <t>kg/s</t>
  </si>
  <si>
    <t>kg/m</t>
  </si>
  <si>
    <t>Engine Power Nominal Output</t>
  </si>
  <si>
    <t>W</t>
  </si>
  <si>
    <t>Nominal-Output Endurance:</t>
  </si>
  <si>
    <t>h</t>
  </si>
  <si>
    <t>Batteries:</t>
  </si>
  <si>
    <t>Battery Pack Capacity</t>
  </si>
  <si>
    <t>mAh</t>
  </si>
  <si>
    <t>215.57 (Samsung 40T Li-ion)</t>
  </si>
  <si>
    <t>135 (original)</t>
  </si>
  <si>
    <t>169 (measured on my 5S lipo)</t>
  </si>
  <si>
    <t>192 (claimed by MaxAmps)</t>
  </si>
  <si>
    <t>Cell Voltage</t>
  </si>
  <si>
    <t>V</t>
  </si>
  <si>
    <t>Cells in Series (#s)</t>
  </si>
  <si>
    <t>W*h</t>
  </si>
  <si>
    <t>Number of batteries</t>
  </si>
  <si>
    <t>Total Battery Capacity</t>
  </si>
  <si>
    <t>Voltage</t>
  </si>
  <si>
    <t>Max Draw:</t>
  </si>
  <si>
    <t>amps</t>
  </si>
  <si>
    <t>Batteries Weight</t>
  </si>
  <si>
    <t>Total Capacity Used</t>
  </si>
  <si>
    <t>%</t>
  </si>
  <si>
    <t>Solar According to Alta Devices:</t>
  </si>
  <si>
    <t>Solar:</t>
  </si>
  <si>
    <t>orig. cell side dim:</t>
  </si>
  <si>
    <t>Solar Unit Power:</t>
  </si>
  <si>
    <t>W/Cell</t>
  </si>
  <si>
    <t>Shooting for 1.8 or more. I measured 1.26 on a mixed cloudy-sunny day.</t>
  </si>
  <si>
    <t>Orig. cell area</t>
  </si>
  <si>
    <t>in^2</t>
  </si>
  <si>
    <t>Number of Solar Panels</t>
  </si>
  <si>
    <t>Cell area:</t>
  </si>
  <si>
    <t>m^2</t>
  </si>
  <si>
    <t>Solar Regulation Efficiency</t>
  </si>
  <si>
    <t>What is this number suppossed to be?</t>
  </si>
  <si>
    <t>total area:</t>
  </si>
  <si>
    <t>Total Solar Power:</t>
  </si>
  <si>
    <t>Cell power claimed</t>
  </si>
  <si>
    <t>This is relative to the area of the cells we were using originally on Muse.</t>
  </si>
  <si>
    <t>Best Power Fraction</t>
  </si>
  <si>
    <t>Total Power:</t>
  </si>
  <si>
    <t>Total mass:</t>
  </si>
  <si>
    <t>Cameras:</t>
  </si>
  <si>
    <t>Camera Unit Power:</t>
  </si>
  <si>
    <t>W/Camera</t>
  </si>
  <si>
    <t>Measured?</t>
  </si>
  <si>
    <t>W/m^2</t>
  </si>
  <si>
    <t>Number of Cameras</t>
  </si>
  <si>
    <t>ignore this:</t>
  </si>
  <si>
    <t>Camera trans. and other draw</t>
  </si>
  <si>
    <t>Predicted Realistic:</t>
  </si>
  <si>
    <t>50-60</t>
  </si>
  <si>
    <t>Camera-Aiming Servo Draw</t>
  </si>
  <si>
    <t># of Camera-Aiming Servos</t>
  </si>
  <si>
    <t>W/m^2 claimed (alta)</t>
  </si>
  <si>
    <t>Total Camera-Aiming Servo Draw</t>
  </si>
  <si>
    <t>Total System Draw:</t>
  </si>
  <si>
    <t>Fl Cont:</t>
  </si>
  <si>
    <t>Pixhawk, GPS, receiver draw</t>
  </si>
  <si>
    <t>Servo Average Draw:</t>
  </si>
  <si>
    <t>W/Servo</t>
  </si>
  <si>
    <t>Number of Fl. Cont. Servos</t>
  </si>
  <si>
    <t>Including Servos for motor-pivoting</t>
  </si>
  <si>
    <t>Total Servo Draw</t>
  </si>
  <si>
    <t>Other:</t>
  </si>
  <si>
    <t>Fuselage Drag Coeff.</t>
  </si>
  <si>
    <t>update this. What is this with respect to?</t>
  </si>
  <si>
    <t>Wing</t>
  </si>
  <si>
    <t>Wing Zero Lift Drag Coeff.</t>
  </si>
  <si>
    <t>Approximation made using airfoiltools.com and assuming NACA 2414</t>
  </si>
  <si>
    <t>Approx Max. Lift Coeff.</t>
  </si>
  <si>
    <t>Approximation made using airfoiltools.com and assuming NACA 2415 at Re = 200,000</t>
  </si>
  <si>
    <t>Oswald Efficiency Factor</t>
  </si>
  <si>
    <t>Root Chord</t>
  </si>
  <si>
    <t>Tip Chord</t>
  </si>
  <si>
    <t>Aspect Ratio</t>
  </si>
  <si>
    <t>Wingspan:</t>
  </si>
  <si>
    <t>Mean Chord:</t>
  </si>
  <si>
    <t>Wing Area:</t>
  </si>
  <si>
    <t>Landing Gear Effects</t>
  </si>
  <si>
    <t>Landing Gear Cd</t>
  </si>
  <si>
    <t>With respect to wheel frontal area:</t>
  </si>
  <si>
    <t>Number of Wheels</t>
  </si>
  <si>
    <t>Wheel Diameter</t>
  </si>
  <si>
    <t>Wheel width</t>
  </si>
  <si>
    <t>fixed drag:</t>
  </si>
  <si>
    <t>Drag Coefficient w/respect to wing</t>
  </si>
  <si>
    <t>Atmosphere</t>
  </si>
  <si>
    <t>Air Density</t>
  </si>
  <si>
    <t>kg/m³</t>
  </si>
  <si>
    <t>slug/ft^3</t>
  </si>
  <si>
    <t>VTOL Mods</t>
  </si>
  <si>
    <t>Cruise Cd from Extra motors</t>
  </si>
  <si>
    <t>Lift Coefficient</t>
  </si>
  <si>
    <t>Coefficient of Drag</t>
  </si>
  <si>
    <t>Lift</t>
  </si>
  <si>
    <t>Drag</t>
  </si>
  <si>
    <t>1/2roev^2(Cl)(A)</t>
  </si>
  <si>
    <t>reference area</t>
  </si>
  <si>
    <t>velocity</t>
  </si>
  <si>
    <t>Drag Coefficient</t>
  </si>
  <si>
    <t>1-Way Cruise Performance</t>
  </si>
  <si>
    <t>Cruise Endurance</t>
  </si>
  <si>
    <t>min</t>
  </si>
  <si>
    <t>hours</t>
  </si>
  <si>
    <t>Cruise Range</t>
  </si>
  <si>
    <t>km</t>
  </si>
  <si>
    <t>miles</t>
  </si>
  <si>
    <t>Theoretical Stall Speed</t>
  </si>
  <si>
    <t>m/s</t>
  </si>
  <si>
    <t>mph</t>
  </si>
  <si>
    <t>Stall Margin</t>
  </si>
  <si>
    <t>This currently means nothing</t>
  </si>
  <si>
    <t>2-Motor Max Thrust/Weight</t>
  </si>
  <si>
    <t>Wing Loading</t>
  </si>
  <si>
    <t>oz/ft^2</t>
  </si>
  <si>
    <t>Hover Performance</t>
  </si>
  <si>
    <t>Hover Power Draw Per Forward Motor</t>
  </si>
  <si>
    <t>per motor</t>
  </si>
  <si>
    <t>Hover Power Draw Per Aft Motor</t>
  </si>
  <si>
    <t>Hover Motor Power Draw:</t>
  </si>
  <si>
    <t>TOTAL POWER DRAW DURING HOVER! Fully loaded, a Muse-size aircraft would draw over 1600W.</t>
  </si>
  <si>
    <t>Hover Motor Approx Current Draw:</t>
  </si>
  <si>
    <t>Hover Time</t>
  </si>
  <si>
    <t>watts</t>
  </si>
  <si>
    <t>Aircraft Thrust to weight:</t>
  </si>
  <si>
    <t>Vertical Takeoff/Landing then Cruise Performance</t>
  </si>
  <si>
    <t>THIS NEEDS UPDATING TO WORK WITH THE HYBRID-ELECTRIC SYSTEM</t>
  </si>
  <si>
    <t>Hover Power Draw Per Motor</t>
  </si>
  <si>
    <t>Total Hover Time</t>
  </si>
  <si>
    <t>Energy Remaining after Hover</t>
  </si>
  <si>
    <t>W*s (J)</t>
  </si>
  <si>
    <t>Remaining Cruise Endurance</t>
  </si>
  <si>
    <t>mins</t>
  </si>
  <si>
    <t>Remaining Cruise Range</t>
  </si>
  <si>
    <t>1-Way Cruise Requirements</t>
  </si>
  <si>
    <t>Min Airspeed</t>
  </si>
  <si>
    <t>Hover Mission Requirements</t>
  </si>
  <si>
    <t>H-takeoff to hover Mission Requirements</t>
  </si>
  <si>
    <t>Trip time (One-Way)</t>
  </si>
  <si>
    <t>Mission Radius</t>
  </si>
  <si>
    <t>V-takeoff/Landing to hover Mission Requirements</t>
  </si>
  <si>
    <t>Takeoff Time</t>
  </si>
  <si>
    <t>Destination Hover Time</t>
  </si>
  <si>
    <t>Landing Time</t>
  </si>
  <si>
    <t>Airspeed (m/s)</t>
  </si>
  <si>
    <t>Flight Time (min)</t>
  </si>
  <si>
    <t>Range (km)</t>
  </si>
  <si>
    <t>Drag (N)</t>
  </si>
  <si>
    <t>Drag (kg)</t>
  </si>
  <si>
    <t>Lift (N)</t>
  </si>
  <si>
    <t>L/D</t>
  </si>
  <si>
    <t>Approx Current per motor(A)</t>
  </si>
  <si>
    <t>Power Draw Per Motor</t>
  </si>
  <si>
    <t>Cruise Airspeed</t>
  </si>
  <si>
    <t>Power (W)</t>
  </si>
  <si>
    <t>Min Power Airspeed</t>
  </si>
  <si>
    <t>Min Drag Airspeed</t>
  </si>
  <si>
    <t>Cruise AIrspeed</t>
  </si>
  <si>
    <t>Part Name</t>
  </si>
  <si>
    <t>Price</t>
  </si>
  <si>
    <t>Quantity</t>
  </si>
  <si>
    <t>Manufacturer</t>
  </si>
  <si>
    <t>Total Cost:</t>
  </si>
  <si>
    <t>Comment:</t>
  </si>
  <si>
    <t>MN505-S KV380</t>
  </si>
  <si>
    <t>T-motor</t>
  </si>
  <si>
    <t>Aft Motors, Better for hovering only</t>
  </si>
  <si>
    <t>http://store-en.tmotor.com/goods.php?id=699</t>
  </si>
  <si>
    <t>AT3520 550KV</t>
  </si>
  <si>
    <t>Forward Motors, with higher rpms and pitch speed.</t>
  </si>
  <si>
    <t>http://store-en.tmotor.com/goods.php?id=794</t>
  </si>
  <si>
    <t>60A ESC can handle up to 6S</t>
  </si>
  <si>
    <t>ESC's</t>
  </si>
  <si>
    <t>https://www.horizonhobby.com/60-amp-pro-switch-mode-bec-brushless-esc-%28v2%29-efla1060b</t>
  </si>
  <si>
    <t>P17x5.8 Carbon Props</t>
  </si>
  <si>
    <t>T-Motor</t>
  </si>
  <si>
    <t>Aft props</t>
  </si>
  <si>
    <t>http://store-en.tmotor.com/goods.php?id=383</t>
  </si>
  <si>
    <t>14x8.5EP</t>
  </si>
  <si>
    <t>APC</t>
  </si>
  <si>
    <t>Forward Prop</t>
  </si>
  <si>
    <t>https://www.apcprop.com/product/14x8-5ep/</t>
  </si>
  <si>
    <t>14x8.5E</t>
  </si>
  <si>
    <t>https://www.apcprop.com/product/14x8-5e/</t>
  </si>
  <si>
    <t>Power System Total:</t>
  </si>
  <si>
    <t>Motor Option:</t>
  </si>
  <si>
    <t>Motor:</t>
  </si>
  <si>
    <t>Max Cont. Power:</t>
  </si>
  <si>
    <t>3d airplane weight (lbs)</t>
  </si>
  <si>
    <t>Motor Weight (kg)</t>
  </si>
  <si>
    <t>ESC Weight</t>
  </si>
  <si>
    <t>Watts/kg motor mass</t>
  </si>
  <si>
    <t>Power per thrust (W/kg)</t>
  </si>
  <si>
    <t>Website</t>
  </si>
  <si>
    <t>E-flight power 46</t>
  </si>
  <si>
    <t>https://www.horizonhobby.com/power-46-brushless-outrunner-motor--670kv-eflm4046a</t>
  </si>
  <si>
    <t>Rimfire .32</t>
  </si>
  <si>
    <t>Rimfire .46</t>
  </si>
  <si>
    <t>https://www.rcplanet.com/motors/airplane-motors/great-planes-rimfire-outrunner-brushless-motor-46-42-60-800-gpmg4725/</t>
  </si>
  <si>
    <t>T-Motor U7-V2.0 280kv</t>
  </si>
  <si>
    <t>T-Motor U7-V2.0 420kv</t>
  </si>
  <si>
    <t>T-Motor U11 90KV</t>
  </si>
  <si>
    <t>T-Motor MN505-S 320kv</t>
  </si>
  <si>
    <t>T-Motor MN505-S 380kv</t>
  </si>
  <si>
    <t>25.97x^2+87.83x+12.83</t>
  </si>
  <si>
    <t>T-Motor AT3520</t>
  </si>
  <si>
    <t>45 amps</t>
  </si>
  <si>
    <t>Thrust (kg)</t>
  </si>
  <si>
    <t>Thrust (g)</t>
  </si>
  <si>
    <t>Thrust (N)</t>
  </si>
  <si>
    <t>Other Motor Power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</si>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</sst>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000"/>
    <numFmt numFmtId="166" formatCode="0.0000000"/>
    <numFmt numFmtId="167" formatCode="0.000"/>
    <numFmt numFmtId="168" formatCode="0.000000000"/>
    <numFmt numFmtId="169" formatCode="0.0"/>
    <numFmt numFmtId="170" formatCode="&quot;$&quot;#,##0.00"/>
  </numFmts>
  <fonts count="12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i/>
      <sz val="10"/>
      <name val="Arial"/>
    </font>
    <font>
      <sz val="10"/>
      <color rgb="FF000000"/>
      <name val="Inconsolata"/>
    </font>
    <font>
      <sz val="11"/>
      <color rgb="FF000000"/>
      <name val="Inconsolata"/>
    </font>
    <font>
      <sz val="11"/>
      <color rgb="FF000000"/>
      <name val="Arial"/>
    </font>
    <font>
      <sz val="11"/>
      <name val="Arial"/>
    </font>
    <font>
      <sz val="11"/>
      <color rgb="FF7E3794"/>
      <name val="Inconsolata"/>
    </font>
    <font>
      <u/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4" fillId="0" borderId="1" xfId="0" applyFont="1" applyBorder="1"/>
    <xf numFmtId="0" fontId="4" fillId="3" borderId="4" xfId="0" applyFont="1" applyFill="1" applyBorder="1"/>
    <xf numFmtId="0" fontId="4" fillId="0" borderId="3" xfId="0" applyFont="1" applyBorder="1" applyAlignment="1">
      <alignment horizontal="left"/>
    </xf>
    <xf numFmtId="0" fontId="2" fillId="0" borderId="1" xfId="0" applyFont="1" applyBorder="1"/>
    <xf numFmtId="0" fontId="4" fillId="0" borderId="3" xfId="0" applyFont="1" applyBorder="1"/>
    <xf numFmtId="0" fontId="2" fillId="0" borderId="5" xfId="0" applyFont="1" applyBorder="1"/>
    <xf numFmtId="0" fontId="4" fillId="3" borderId="6" xfId="0" applyFont="1" applyFill="1" applyBorder="1"/>
    <xf numFmtId="0" fontId="4" fillId="0" borderId="7" xfId="0" applyFont="1" applyBorder="1"/>
    <xf numFmtId="0" fontId="4" fillId="4" borderId="6" xfId="0" applyFont="1" applyFill="1" applyBorder="1"/>
    <xf numFmtId="0" fontId="5" fillId="0" borderId="0" xfId="0" applyFont="1"/>
    <xf numFmtId="0" fontId="1" fillId="2" borderId="0" xfId="0" applyFont="1" applyFill="1"/>
    <xf numFmtId="0" fontId="1" fillId="2" borderId="5" xfId="0" applyFont="1" applyFill="1" applyBorder="1"/>
    <xf numFmtId="0" fontId="2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5" fillId="0" borderId="5" xfId="0" applyFont="1" applyBorder="1"/>
    <xf numFmtId="0" fontId="4" fillId="0" borderId="5" xfId="0" applyFont="1" applyBorder="1"/>
    <xf numFmtId="0" fontId="2" fillId="3" borderId="5" xfId="0" applyFont="1" applyFill="1" applyBorder="1"/>
    <xf numFmtId="0" fontId="2" fillId="4" borderId="5" xfId="0" applyFont="1" applyFill="1" applyBorder="1"/>
    <xf numFmtId="164" fontId="2" fillId="4" borderId="5" xfId="0" applyNumberFormat="1" applyFont="1" applyFill="1" applyBorder="1"/>
    <xf numFmtId="0" fontId="4" fillId="3" borderId="8" xfId="0" applyFont="1" applyFill="1" applyBorder="1"/>
    <xf numFmtId="165" fontId="2" fillId="4" borderId="5" xfId="0" applyNumberFormat="1" applyFont="1" applyFill="1" applyBorder="1"/>
    <xf numFmtId="166" fontId="0" fillId="4" borderId="5" xfId="0" applyNumberFormat="1" applyFill="1" applyBorder="1" applyAlignment="1">
      <alignment horizontal="right"/>
    </xf>
    <xf numFmtId="167" fontId="2" fillId="4" borderId="5" xfId="0" applyNumberFormat="1" applyFont="1" applyFill="1" applyBorder="1"/>
    <xf numFmtId="0" fontId="1" fillId="0" borderId="5" xfId="0" applyFont="1" applyBorder="1"/>
    <xf numFmtId="167" fontId="1" fillId="4" borderId="5" xfId="0" applyNumberFormat="1" applyFont="1" applyFill="1" applyBorder="1"/>
    <xf numFmtId="167" fontId="2" fillId="0" borderId="0" xfId="0" applyNumberFormat="1" applyFont="1"/>
    <xf numFmtId="0" fontId="4" fillId="3" borderId="1" xfId="0" applyFont="1" applyFill="1" applyBorder="1"/>
    <xf numFmtId="10" fontId="4" fillId="3" borderId="1" xfId="0" applyNumberFormat="1" applyFont="1" applyFill="1" applyBorder="1"/>
    <xf numFmtId="9" fontId="4" fillId="3" borderId="1" xfId="0" applyNumberFormat="1" applyFont="1" applyFill="1" applyBorder="1"/>
    <xf numFmtId="1" fontId="6" fillId="4" borderId="0" xfId="0" applyNumberFormat="1" applyFont="1" applyFill="1" applyAlignment="1">
      <alignment horizontal="left"/>
    </xf>
    <xf numFmtId="10" fontId="2" fillId="0" borderId="0" xfId="0" applyNumberFormat="1" applyFont="1"/>
    <xf numFmtId="0" fontId="4" fillId="4" borderId="1" xfId="0" applyFont="1" applyFill="1" applyBorder="1"/>
    <xf numFmtId="167" fontId="4" fillId="4" borderId="1" xfId="0" applyNumberFormat="1" applyFont="1" applyFill="1" applyBorder="1" applyAlignment="1">
      <alignment horizontal="right"/>
    </xf>
    <xf numFmtId="10" fontId="4" fillId="3" borderId="4" xfId="0" applyNumberFormat="1" applyFont="1" applyFill="1" applyBorder="1"/>
    <xf numFmtId="168" fontId="6" fillId="5" borderId="5" xfId="0" applyNumberFormat="1" applyFont="1" applyFill="1" applyBorder="1"/>
    <xf numFmtId="10" fontId="2" fillId="3" borderId="5" xfId="0" applyNumberFormat="1" applyFont="1" applyFill="1" applyBorder="1"/>
    <xf numFmtId="0" fontId="2" fillId="6" borderId="5" xfId="0" applyFont="1" applyFill="1" applyBorder="1"/>
    <xf numFmtId="0" fontId="4" fillId="3" borderId="5" xfId="0" applyFont="1" applyFill="1" applyBorder="1"/>
    <xf numFmtId="0" fontId="2" fillId="6" borderId="0" xfId="0" applyFont="1" applyFill="1"/>
    <xf numFmtId="167" fontId="4" fillId="0" borderId="5" xfId="0" applyNumberFormat="1" applyFont="1" applyBorder="1"/>
    <xf numFmtId="167" fontId="4" fillId="3" borderId="5" xfId="0" applyNumberFormat="1" applyFont="1" applyFill="1" applyBorder="1"/>
    <xf numFmtId="2" fontId="4" fillId="3" borderId="5" xfId="0" applyNumberFormat="1" applyFont="1" applyFill="1" applyBorder="1"/>
    <xf numFmtId="10" fontId="4" fillId="3" borderId="5" xfId="0" applyNumberFormat="1" applyFont="1" applyFill="1" applyBorder="1"/>
    <xf numFmtId="0" fontId="4" fillId="4" borderId="5" xfId="0" applyFont="1" applyFill="1" applyBorder="1"/>
    <xf numFmtId="0" fontId="7" fillId="5" borderId="0" xfId="0" applyFont="1" applyFill="1" applyAlignment="1">
      <alignment horizontal="left"/>
    </xf>
    <xf numFmtId="167" fontId="7" fillId="5" borderId="0" xfId="0" applyNumberFormat="1" applyFont="1" applyFill="1" applyAlignment="1">
      <alignment horizontal="left"/>
    </xf>
    <xf numFmtId="0" fontId="8" fillId="5" borderId="0" xfId="0" applyFont="1" applyFill="1" applyAlignment="1">
      <alignment horizontal="left"/>
    </xf>
    <xf numFmtId="169" fontId="4" fillId="0" borderId="5" xfId="0" applyNumberFormat="1" applyFont="1" applyBorder="1"/>
    <xf numFmtId="2" fontId="5" fillId="0" borderId="0" xfId="0" applyNumberFormat="1" applyFont="1"/>
    <xf numFmtId="167" fontId="2" fillId="0" borderId="5" xfId="0" applyNumberFormat="1" applyFont="1" applyBorder="1"/>
    <xf numFmtId="2" fontId="2" fillId="0" borderId="5" xfId="0" applyNumberFormat="1" applyFont="1" applyBorder="1"/>
    <xf numFmtId="2" fontId="2" fillId="0" borderId="0" xfId="0" applyNumberFormat="1" applyFont="1"/>
    <xf numFmtId="0" fontId="4" fillId="0" borderId="9" xfId="0" applyFont="1" applyBorder="1"/>
    <xf numFmtId="2" fontId="7" fillId="5" borderId="0" xfId="0" applyNumberFormat="1" applyFont="1" applyFill="1"/>
    <xf numFmtId="0" fontId="4" fillId="0" borderId="10" xfId="0" applyFont="1" applyBorder="1"/>
    <xf numFmtId="169" fontId="9" fillId="0" borderId="0" xfId="0" applyNumberFormat="1" applyFont="1"/>
    <xf numFmtId="167" fontId="4" fillId="0" borderId="0" xfId="0" applyNumberFormat="1" applyFont="1"/>
    <xf numFmtId="167" fontId="4" fillId="0" borderId="11" xfId="0" applyNumberFormat="1" applyFont="1" applyBorder="1"/>
    <xf numFmtId="167" fontId="10" fillId="5" borderId="5" xfId="0" applyNumberFormat="1" applyFont="1" applyFill="1" applyBorder="1"/>
    <xf numFmtId="0" fontId="4" fillId="0" borderId="0" xfId="0" applyFont="1"/>
    <xf numFmtId="0" fontId="4" fillId="3" borderId="11" xfId="0" applyFont="1" applyFill="1" applyBorder="1"/>
    <xf numFmtId="169" fontId="2" fillId="0" borderId="0" xfId="0" applyNumberFormat="1" applyFont="1"/>
    <xf numFmtId="169" fontId="7" fillId="5" borderId="0" xfId="0" applyNumberFormat="1" applyFont="1" applyFill="1"/>
    <xf numFmtId="2" fontId="7" fillId="5" borderId="0" xfId="0" applyNumberFormat="1" applyFont="1" applyFill="1" applyAlignment="1">
      <alignment horizontal="right"/>
    </xf>
    <xf numFmtId="169" fontId="7" fillId="5" borderId="5" xfId="0" applyNumberFormat="1" applyFont="1" applyFill="1" applyBorder="1"/>
    <xf numFmtId="0" fontId="4" fillId="0" borderId="4" xfId="0" applyFont="1" applyBorder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9" fontId="9" fillId="5" borderId="8" xfId="0" applyNumberFormat="1" applyFont="1" applyFill="1" applyBorder="1" applyAlignment="1">
      <alignment horizontal="right"/>
    </xf>
    <xf numFmtId="165" fontId="9" fillId="5" borderId="8" xfId="0" applyNumberFormat="1" applyFont="1" applyFill="1" applyBorder="1" applyAlignment="1">
      <alignment horizontal="right"/>
    </xf>
    <xf numFmtId="165" fontId="4" fillId="0" borderId="0" xfId="0" applyNumberFormat="1" applyFont="1" applyAlignment="1">
      <alignment horizontal="right"/>
    </xf>
    <xf numFmtId="2" fontId="4" fillId="0" borderId="0" xfId="0" applyNumberFormat="1" applyFont="1"/>
    <xf numFmtId="169" fontId="4" fillId="0" borderId="0" xfId="0" applyNumberFormat="1" applyFont="1" applyAlignment="1">
      <alignment horizontal="right"/>
    </xf>
    <xf numFmtId="169" fontId="9" fillId="6" borderId="8" xfId="0" applyNumberFormat="1" applyFont="1" applyFill="1" applyBorder="1" applyAlignment="1">
      <alignment horizontal="right"/>
    </xf>
    <xf numFmtId="169" fontId="9" fillId="0" borderId="0" xfId="0" applyNumberFormat="1" applyFont="1" applyAlignment="1">
      <alignment horizontal="right"/>
    </xf>
    <xf numFmtId="165" fontId="4" fillId="0" borderId="0" xfId="0" applyNumberFormat="1" applyFont="1"/>
    <xf numFmtId="170" fontId="2" fillId="0" borderId="0" xfId="0" applyNumberFormat="1" applyFont="1"/>
    <xf numFmtId="0" fontId="11" fillId="0" borderId="0" xfId="0" applyFont="1"/>
    <xf numFmtId="0" fontId="2" fillId="3" borderId="0" xfId="0" applyFont="1" applyFill="1"/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7" borderId="0" xfId="0" applyFont="1" applyFill="1" applyAlignment="1">
      <alignment horizontal="center"/>
    </xf>
    <xf numFmtId="0" fontId="0" fillId="0" borderId="0" xfId="0"/>
    <xf numFmtId="0" fontId="4" fillId="7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8672"/>
          <c:y val="0.12218999999999999"/>
          <c:w val="0.72199000000000002"/>
          <c:h val="0.71382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'Cruise Trends'!$C$1</c:f>
              <c:strCache>
                <c:ptCount val="1"/>
                <c:pt idx="0">
                  <c:v>Flight Time (min)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'Cruise Trends'!$A$5:$A$80</c:f>
              <c:numCache>
                <c:formatCode>General</c:formatCode>
                <c:ptCount val="76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  <c:pt idx="18">
                  <c:v>13.5</c:v>
                </c:pt>
                <c:pt idx="19">
                  <c:v>14</c:v>
                </c:pt>
                <c:pt idx="20">
                  <c:v>14.5</c:v>
                </c:pt>
                <c:pt idx="21">
                  <c:v>15</c:v>
                </c:pt>
                <c:pt idx="22">
                  <c:v>15.5</c:v>
                </c:pt>
                <c:pt idx="23">
                  <c:v>16</c:v>
                </c:pt>
                <c:pt idx="24">
                  <c:v>16.5</c:v>
                </c:pt>
                <c:pt idx="25">
                  <c:v>17</c:v>
                </c:pt>
                <c:pt idx="26">
                  <c:v>17.5</c:v>
                </c:pt>
                <c:pt idx="27">
                  <c:v>18</c:v>
                </c:pt>
                <c:pt idx="28">
                  <c:v>18.5</c:v>
                </c:pt>
                <c:pt idx="29">
                  <c:v>19</c:v>
                </c:pt>
                <c:pt idx="30">
                  <c:v>19.5</c:v>
                </c:pt>
                <c:pt idx="31">
                  <c:v>20</c:v>
                </c:pt>
                <c:pt idx="32">
                  <c:v>20.5</c:v>
                </c:pt>
                <c:pt idx="33">
                  <c:v>21</c:v>
                </c:pt>
                <c:pt idx="34">
                  <c:v>21.5</c:v>
                </c:pt>
                <c:pt idx="35">
                  <c:v>22</c:v>
                </c:pt>
                <c:pt idx="36">
                  <c:v>22.5</c:v>
                </c:pt>
                <c:pt idx="37">
                  <c:v>23</c:v>
                </c:pt>
                <c:pt idx="38">
                  <c:v>23.5</c:v>
                </c:pt>
                <c:pt idx="39">
                  <c:v>24</c:v>
                </c:pt>
                <c:pt idx="40">
                  <c:v>24.5</c:v>
                </c:pt>
                <c:pt idx="41">
                  <c:v>25</c:v>
                </c:pt>
                <c:pt idx="42">
                  <c:v>25.5</c:v>
                </c:pt>
                <c:pt idx="43">
                  <c:v>26</c:v>
                </c:pt>
                <c:pt idx="44">
                  <c:v>26.5</c:v>
                </c:pt>
                <c:pt idx="45">
                  <c:v>27</c:v>
                </c:pt>
                <c:pt idx="46">
                  <c:v>27.5</c:v>
                </c:pt>
                <c:pt idx="47">
                  <c:v>28</c:v>
                </c:pt>
                <c:pt idx="48">
                  <c:v>28.5</c:v>
                </c:pt>
                <c:pt idx="49">
                  <c:v>29</c:v>
                </c:pt>
                <c:pt idx="50">
                  <c:v>29.5</c:v>
                </c:pt>
                <c:pt idx="51">
                  <c:v>30</c:v>
                </c:pt>
                <c:pt idx="52">
                  <c:v>30.5</c:v>
                </c:pt>
                <c:pt idx="53">
                  <c:v>31</c:v>
                </c:pt>
                <c:pt idx="54">
                  <c:v>31.5</c:v>
                </c:pt>
                <c:pt idx="55">
                  <c:v>32</c:v>
                </c:pt>
                <c:pt idx="56">
                  <c:v>32.5</c:v>
                </c:pt>
                <c:pt idx="57">
                  <c:v>33</c:v>
                </c:pt>
                <c:pt idx="58">
                  <c:v>33.5</c:v>
                </c:pt>
                <c:pt idx="59">
                  <c:v>34</c:v>
                </c:pt>
                <c:pt idx="60">
                  <c:v>34.5</c:v>
                </c:pt>
                <c:pt idx="61">
                  <c:v>35</c:v>
                </c:pt>
                <c:pt idx="62">
                  <c:v>35.5</c:v>
                </c:pt>
                <c:pt idx="63">
                  <c:v>36</c:v>
                </c:pt>
                <c:pt idx="64">
                  <c:v>36.5</c:v>
                </c:pt>
                <c:pt idx="65">
                  <c:v>37</c:v>
                </c:pt>
                <c:pt idx="66">
                  <c:v>37.5</c:v>
                </c:pt>
                <c:pt idx="67">
                  <c:v>38</c:v>
                </c:pt>
                <c:pt idx="68">
                  <c:v>38.5</c:v>
                </c:pt>
                <c:pt idx="69">
                  <c:v>39</c:v>
                </c:pt>
                <c:pt idx="70">
                  <c:v>39.5</c:v>
                </c:pt>
                <c:pt idx="71">
                  <c:v>40</c:v>
                </c:pt>
                <c:pt idx="72">
                  <c:v>40.5</c:v>
                </c:pt>
                <c:pt idx="73">
                  <c:v>41</c:v>
                </c:pt>
                <c:pt idx="74">
                  <c:v>41.5</c:v>
                </c:pt>
                <c:pt idx="75">
                  <c:v>42</c:v>
                </c:pt>
              </c:numCache>
            </c:numRef>
          </c:xVal>
          <c:yVal>
            <c:numRef>
              <c:f>'Cruise Trends'!$C$2:$C$80</c:f>
              <c:numCache>
                <c:formatCode>0.0</c:formatCode>
                <c:ptCount val="79"/>
                <c:pt idx="2">
                  <c:v>10.149031562853327</c:v>
                </c:pt>
                <c:pt idx="3">
                  <c:v>14.868416560745905</c:v>
                </c:pt>
                <c:pt idx="4">
                  <c:v>20.668765227266523</c:v>
                </c:pt>
                <c:pt idx="5">
                  <c:v>27.548907957183641</c:v>
                </c:pt>
                <c:pt idx="6">
                  <c:v>35.479602194040027</c:v>
                </c:pt>
                <c:pt idx="7">
                  <c:v>44.407617729551603</c:v>
                </c:pt>
                <c:pt idx="8">
                  <c:v>54.258687549435194</c:v>
                </c:pt>
                <c:pt idx="9">
                  <c:v>64.939509299126868</c:v>
                </c:pt>
                <c:pt idx="10">
                  <c:v>76.339160342924487</c:v>
                </c:pt>
                <c:pt idx="11">
                  <c:v>88.330332761115727</c:v>
                </c:pt>
                <c:pt idx="12">
                  <c:v>100.77076270337814</c:v>
                </c:pt>
                <c:pt idx="13">
                  <c:v>113.50515528769272</c:v>
                </c:pt>
                <c:pt idx="14">
                  <c:v>126.36780878715798</c:v>
                </c:pt>
                <c:pt idx="15">
                  <c:v>139.18602925823609</c:v>
                </c:pt>
                <c:pt idx="16">
                  <c:v>151.78430654228808</c:v>
                </c:pt>
                <c:pt idx="17">
                  <c:v>163.98910412119344</c:v>
                </c:pt>
                <c:pt idx="18">
                  <c:v>175.63401068774309</c:v>
                </c:pt>
                <c:pt idx="19">
                  <c:v>186.56492383488174</c:v>
                </c:pt>
                <c:pt idx="20">
                  <c:v>196.64489781795336</c:v>
                </c:pt>
                <c:pt idx="21">
                  <c:v>205.75829511460515</c:v>
                </c:pt>
                <c:pt idx="22">
                  <c:v>213.81393565534827</c:v>
                </c:pt>
                <c:pt idx="23">
                  <c:v>220.74703041199155</c:v>
                </c:pt>
                <c:pt idx="24">
                  <c:v>226.51980312817048</c:v>
                </c:pt>
                <c:pt idx="25">
                  <c:v>231.12082723856369</c:v>
                </c:pt>
                <c:pt idx="26">
                  <c:v>234.56321641806394</c:v>
                </c:pt>
                <c:pt idx="27">
                  <c:v>236.88189236488398</c:v>
                </c:pt>
                <c:pt idx="28">
                  <c:v>238.13020404521134</c:v>
                </c:pt>
                <c:pt idx="29">
                  <c:v>238.37618716787753</c:v>
                </c:pt>
                <c:pt idx="30">
                  <c:v>237.6987354453783</c:v>
                </c:pt>
                <c:pt idx="31">
                  <c:v>236.18391447827261</c:v>
                </c:pt>
                <c:pt idx="32">
                  <c:v>233.92159471783577</c:v>
                </c:pt>
                <c:pt idx="33">
                  <c:v>231.00252130871024</c:v>
                </c:pt>
                <c:pt idx="34">
                  <c:v>227.51588322743811</c:v>
                </c:pt>
                <c:pt idx="35">
                  <c:v>223.54739705265217</c:v>
                </c:pt>
                <c:pt idx="36">
                  <c:v>219.17788446706857</c:v>
                </c:pt>
                <c:pt idx="37">
                  <c:v>214.48229766571089</c:v>
                </c:pt>
                <c:pt idx="38">
                  <c:v>209.52913224085412</c:v>
                </c:pt>
                <c:pt idx="39">
                  <c:v>204.3801610178912</c:v>
                </c:pt>
                <c:pt idx="40">
                  <c:v>199.0904226094039</c:v>
                </c:pt>
                <c:pt idx="41">
                  <c:v>193.70840308395285</c:v>
                </c:pt>
                <c:pt idx="42">
                  <c:v>188.27635634141313</c:v>
                </c:pt>
                <c:pt idx="43">
                  <c:v>182.83071715598703</c:v>
                </c:pt>
                <c:pt idx="44">
                  <c:v>177.40256938591409</c:v>
                </c:pt>
                <c:pt idx="45">
                  <c:v>172.01813989432944</c:v>
                </c:pt>
                <c:pt idx="46">
                  <c:v>166.69929589611064</c:v>
                </c:pt>
                <c:pt idx="47">
                  <c:v>161.46402956629063</c:v>
                </c:pt>
                <c:pt idx="48">
                  <c:v>156.32691878570731</c:v>
                </c:pt>
                <c:pt idx="49">
                  <c:v>151.29955691881833</c:v>
                </c:pt>
                <c:pt idx="50">
                  <c:v>146.39094762735343</c:v>
                </c:pt>
                <c:pt idx="51">
                  <c:v>141.60786305401632</c:v>
                </c:pt>
                <c:pt idx="52">
                  <c:v>136.95516539817973</c:v>
                </c:pt>
                <c:pt idx="53">
                  <c:v>132.43609307756719</c:v>
                </c:pt>
                <c:pt idx="54">
                  <c:v>128.05251343904158</c:v>
                </c:pt>
                <c:pt idx="55">
                  <c:v>123.80514444389227</c:v>
                </c:pt>
                <c:pt idx="56">
                  <c:v>119.69374798763471</c:v>
                </c:pt>
                <c:pt idx="57">
                  <c:v>115.71729758494472</c:v>
                </c:pt>
                <c:pt idx="58">
                  <c:v>111.87412310686425</c:v>
                </c:pt>
                <c:pt idx="59">
                  <c:v>108.16203513814973</c:v>
                </c:pt>
                <c:pt idx="60">
                  <c:v>104.57843135638311</c:v>
                </c:pt>
                <c:pt idx="61">
                  <c:v>101.12038714238167</c:v>
                </c:pt>
                <c:pt idx="62">
                  <c:v>97.78473242867581</c:v>
                </c:pt>
                <c:pt idx="63">
                  <c:v>94.568116589908385</c:v>
                </c:pt>
                <c:pt idx="64">
                  <c:v>91.467062982979286</c:v>
                </c:pt>
                <c:pt idx="65">
                  <c:v>88.478014560045438</c:v>
                </c:pt>
                <c:pt idx="66">
                  <c:v>85.597371806640226</c:v>
                </c:pt>
                <c:pt idx="67">
                  <c:v>82.821524101384313</c:v>
                </c:pt>
                <c:pt idx="68">
                  <c:v>80.146875453283371</c:v>
                </c:pt>
                <c:pt idx="69">
                  <c:v>77.569865447075045</c:v>
                </c:pt>
                <c:pt idx="70">
                  <c:v>75.086986115734334</c:v>
                </c:pt>
                <c:pt idx="71">
                  <c:v>72.69479536106283</c:v>
                </c:pt>
                <c:pt idx="72">
                  <c:v>70.38992745715926</c:v>
                </c:pt>
                <c:pt idx="73">
                  <c:v>68.169101096332724</c:v>
                </c:pt>
                <c:pt idx="74">
                  <c:v>66.02912537154063</c:v>
                </c:pt>
                <c:pt idx="75">
                  <c:v>63.966904032617279</c:v>
                </c:pt>
                <c:pt idx="76">
                  <c:v>61.979438304395643</c:v>
                </c:pt>
                <c:pt idx="77">
                  <c:v>60.063828512378834</c:v>
                </c:pt>
                <c:pt idx="78">
                  <c:v>58.217274725047453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9B-4B26-8F90-5793AF95E3A5}"/>
            </c:ext>
          </c:extLst>
        </c:ser>
        <c:ser>
          <c:idx val="1"/>
          <c:order val="1"/>
          <c:tx>
            <c:strRef>
              <c:f>'Cruise Trends'!$D$1</c:f>
              <c:strCache>
                <c:ptCount val="1"/>
                <c:pt idx="0">
                  <c:v>Range (km)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DC3912"/>
              </a:solidFill>
              <a:ln cmpd="sng">
                <a:solidFill>
                  <a:srgbClr val="DC3912"/>
                </a:solidFill>
              </a:ln>
            </c:spPr>
          </c:marker>
          <c:xVal>
            <c:numRef>
              <c:f>'Cruise Trends'!$A$5:$A$80</c:f>
              <c:numCache>
                <c:formatCode>General</c:formatCode>
                <c:ptCount val="76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  <c:pt idx="18">
                  <c:v>13.5</c:v>
                </c:pt>
                <c:pt idx="19">
                  <c:v>14</c:v>
                </c:pt>
                <c:pt idx="20">
                  <c:v>14.5</c:v>
                </c:pt>
                <c:pt idx="21">
                  <c:v>15</c:v>
                </c:pt>
                <c:pt idx="22">
                  <c:v>15.5</c:v>
                </c:pt>
                <c:pt idx="23">
                  <c:v>16</c:v>
                </c:pt>
                <c:pt idx="24">
                  <c:v>16.5</c:v>
                </c:pt>
                <c:pt idx="25">
                  <c:v>17</c:v>
                </c:pt>
                <c:pt idx="26">
                  <c:v>17.5</c:v>
                </c:pt>
                <c:pt idx="27">
                  <c:v>18</c:v>
                </c:pt>
                <c:pt idx="28">
                  <c:v>18.5</c:v>
                </c:pt>
                <c:pt idx="29">
                  <c:v>19</c:v>
                </c:pt>
                <c:pt idx="30">
                  <c:v>19.5</c:v>
                </c:pt>
                <c:pt idx="31">
                  <c:v>20</c:v>
                </c:pt>
                <c:pt idx="32">
                  <c:v>20.5</c:v>
                </c:pt>
                <c:pt idx="33">
                  <c:v>21</c:v>
                </c:pt>
                <c:pt idx="34">
                  <c:v>21.5</c:v>
                </c:pt>
                <c:pt idx="35">
                  <c:v>22</c:v>
                </c:pt>
                <c:pt idx="36">
                  <c:v>22.5</c:v>
                </c:pt>
                <c:pt idx="37">
                  <c:v>23</c:v>
                </c:pt>
                <c:pt idx="38">
                  <c:v>23.5</c:v>
                </c:pt>
                <c:pt idx="39">
                  <c:v>24</c:v>
                </c:pt>
                <c:pt idx="40">
                  <c:v>24.5</c:v>
                </c:pt>
                <c:pt idx="41">
                  <c:v>25</c:v>
                </c:pt>
                <c:pt idx="42">
                  <c:v>25.5</c:v>
                </c:pt>
                <c:pt idx="43">
                  <c:v>26</c:v>
                </c:pt>
                <c:pt idx="44">
                  <c:v>26.5</c:v>
                </c:pt>
                <c:pt idx="45">
                  <c:v>27</c:v>
                </c:pt>
                <c:pt idx="46">
                  <c:v>27.5</c:v>
                </c:pt>
                <c:pt idx="47">
                  <c:v>28</c:v>
                </c:pt>
                <c:pt idx="48">
                  <c:v>28.5</c:v>
                </c:pt>
                <c:pt idx="49">
                  <c:v>29</c:v>
                </c:pt>
                <c:pt idx="50">
                  <c:v>29.5</c:v>
                </c:pt>
                <c:pt idx="51">
                  <c:v>30</c:v>
                </c:pt>
                <c:pt idx="52">
                  <c:v>30.5</c:v>
                </c:pt>
                <c:pt idx="53">
                  <c:v>31</c:v>
                </c:pt>
                <c:pt idx="54">
                  <c:v>31.5</c:v>
                </c:pt>
                <c:pt idx="55">
                  <c:v>32</c:v>
                </c:pt>
                <c:pt idx="56">
                  <c:v>32.5</c:v>
                </c:pt>
                <c:pt idx="57">
                  <c:v>33</c:v>
                </c:pt>
                <c:pt idx="58">
                  <c:v>33.5</c:v>
                </c:pt>
                <c:pt idx="59">
                  <c:v>34</c:v>
                </c:pt>
                <c:pt idx="60">
                  <c:v>34.5</c:v>
                </c:pt>
                <c:pt idx="61">
                  <c:v>35</c:v>
                </c:pt>
                <c:pt idx="62">
                  <c:v>35.5</c:v>
                </c:pt>
                <c:pt idx="63">
                  <c:v>36</c:v>
                </c:pt>
                <c:pt idx="64">
                  <c:v>36.5</c:v>
                </c:pt>
                <c:pt idx="65">
                  <c:v>37</c:v>
                </c:pt>
                <c:pt idx="66">
                  <c:v>37.5</c:v>
                </c:pt>
                <c:pt idx="67">
                  <c:v>38</c:v>
                </c:pt>
                <c:pt idx="68">
                  <c:v>38.5</c:v>
                </c:pt>
                <c:pt idx="69">
                  <c:v>39</c:v>
                </c:pt>
                <c:pt idx="70">
                  <c:v>39.5</c:v>
                </c:pt>
                <c:pt idx="71">
                  <c:v>40</c:v>
                </c:pt>
                <c:pt idx="72">
                  <c:v>40.5</c:v>
                </c:pt>
                <c:pt idx="73">
                  <c:v>41</c:v>
                </c:pt>
                <c:pt idx="74">
                  <c:v>41.5</c:v>
                </c:pt>
                <c:pt idx="75">
                  <c:v>42</c:v>
                </c:pt>
              </c:numCache>
            </c:numRef>
          </c:xVal>
          <c:yVal>
            <c:numRef>
              <c:f>'Cruise Trends'!$D$2:$D$80</c:f>
              <c:numCache>
                <c:formatCode>0.0</c:formatCode>
                <c:ptCount val="79"/>
                <c:pt idx="2">
                  <c:v>2.4357675750847982</c:v>
                </c:pt>
                <c:pt idx="3">
                  <c:v>4.014472471401394</c:v>
                </c:pt>
                <c:pt idx="4">
                  <c:v>6.2006295681799566</c:v>
                </c:pt>
                <c:pt idx="5">
                  <c:v>9.0911396258706016</c:v>
                </c:pt>
                <c:pt idx="6">
                  <c:v>12.772656789854409</c:v>
                </c:pt>
                <c:pt idx="7">
                  <c:v>17.318970914525124</c:v>
                </c:pt>
                <c:pt idx="8">
                  <c:v>22.788648770762784</c:v>
                </c:pt>
                <c:pt idx="9">
                  <c:v>29.222779184607091</c:v>
                </c:pt>
                <c:pt idx="10">
                  <c:v>36.642796964603754</c:v>
                </c:pt>
                <c:pt idx="11">
                  <c:v>45.048469708169023</c:v>
                </c:pt>
                <c:pt idx="12">
                  <c:v>54.416211859824195</c:v>
                </c:pt>
                <c:pt idx="13">
                  <c:v>64.697938513984852</c:v>
                </c:pt>
                <c:pt idx="14">
                  <c:v>75.820685272294781</c:v>
                </c:pt>
                <c:pt idx="15">
                  <c:v>87.687198432688746</c:v>
                </c:pt>
                <c:pt idx="16">
                  <c:v>100.17764231791013</c:v>
                </c:pt>
                <c:pt idx="17">
                  <c:v>113.15248184362346</c:v>
                </c:pt>
                <c:pt idx="18">
                  <c:v>126.45648769517501</c:v>
                </c:pt>
                <c:pt idx="19">
                  <c:v>139.92369287616131</c:v>
                </c:pt>
                <c:pt idx="20">
                  <c:v>153.38302029800363</c:v>
                </c:pt>
                <c:pt idx="21">
                  <c:v>166.66421904283018</c:v>
                </c:pt>
                <c:pt idx="22">
                  <c:v>179.60370595049255</c:v>
                </c:pt>
                <c:pt idx="23">
                  <c:v>192.04991645843265</c:v>
                </c:pt>
                <c:pt idx="24">
                  <c:v>203.86782281535343</c:v>
                </c:pt>
                <c:pt idx="25">
                  <c:v>214.94236933186423</c:v>
                </c:pt>
                <c:pt idx="26">
                  <c:v>225.1806877613414</c:v>
                </c:pt>
                <c:pt idx="27">
                  <c:v>234.51307344123512</c:v>
                </c:pt>
                <c:pt idx="28">
                  <c:v>242.89280812611557</c:v>
                </c:pt>
                <c:pt idx="29">
                  <c:v>250.2949965262714</c:v>
                </c:pt>
                <c:pt idx="30">
                  <c:v>256.71463428100861</c:v>
                </c:pt>
                <c:pt idx="31">
                  <c:v>262.16414507088263</c:v>
                </c:pt>
                <c:pt idx="32">
                  <c:v>266.67061797833281</c:v>
                </c:pt>
                <c:pt idx="33">
                  <c:v>270.27294993119096</c:v>
                </c:pt>
                <c:pt idx="34">
                  <c:v>273.01905987292577</c:v>
                </c:pt>
                <c:pt idx="35">
                  <c:v>274.96329837476219</c:v>
                </c:pt>
                <c:pt idx="36">
                  <c:v>276.16413442850643</c:v>
                </c:pt>
                <c:pt idx="37">
                  <c:v>276.682163988767</c:v>
                </c:pt>
                <c:pt idx="38">
                  <c:v>276.57845455792744</c:v>
                </c:pt>
                <c:pt idx="39">
                  <c:v>275.91321737415313</c:v>
                </c:pt>
                <c:pt idx="40">
                  <c:v>274.74478320097739</c:v>
                </c:pt>
                <c:pt idx="41">
                  <c:v>273.12884834837348</c:v>
                </c:pt>
                <c:pt idx="42">
                  <c:v>271.11795313163492</c:v>
                </c:pt>
                <c:pt idx="43">
                  <c:v>268.76115421930092</c:v>
                </c:pt>
                <c:pt idx="44">
                  <c:v>266.10385407887117</c:v>
                </c:pt>
                <c:pt idx="45">
                  <c:v>263.18775403832399</c:v>
                </c:pt>
                <c:pt idx="46">
                  <c:v>260.05090159793264</c:v>
                </c:pt>
                <c:pt idx="47">
                  <c:v>256.7278070104021</c:v>
                </c:pt>
                <c:pt idx="48">
                  <c:v>253.24960843284586</c:v>
                </c:pt>
                <c:pt idx="49">
                  <c:v>249.64426891605024</c:v>
                </c:pt>
                <c:pt idx="50">
                  <c:v>245.93679201395375</c:v>
                </c:pt>
                <c:pt idx="51">
                  <c:v>242.14944582236788</c:v>
                </c:pt>
                <c:pt idx="52">
                  <c:v>238.3019877928327</c:v>
                </c:pt>
                <c:pt idx="53">
                  <c:v>234.41188474729393</c:v>
                </c:pt>
                <c:pt idx="54">
                  <c:v>230.49452419027483</c:v>
                </c:pt>
                <c:pt idx="55">
                  <c:v>226.56341433232285</c:v>
                </c:pt>
                <c:pt idx="56">
                  <c:v>222.63037125700058</c:v>
                </c:pt>
                <c:pt idx="57">
                  <c:v>218.70569243554553</c:v>
                </c:pt>
                <c:pt idx="58">
                  <c:v>214.79831636517935</c:v>
                </c:pt>
                <c:pt idx="59">
                  <c:v>210.91596851939195</c:v>
                </c:pt>
                <c:pt idx="60">
                  <c:v>207.06529408563853</c:v>
                </c:pt>
                <c:pt idx="61">
                  <c:v>203.25197815618714</c:v>
                </c:pt>
                <c:pt idx="62">
                  <c:v>199.48085415449864</c:v>
                </c:pt>
                <c:pt idx="63">
                  <c:v>195.75600134111036</c:v>
                </c:pt>
                <c:pt idx="64">
                  <c:v>192.08083226425649</c:v>
                </c:pt>
                <c:pt idx="65">
                  <c:v>188.45817101289677</c:v>
                </c:pt>
                <c:pt idx="66">
                  <c:v>184.8903231023429</c:v>
                </c:pt>
                <c:pt idx="67">
                  <c:v>181.37913778203165</c:v>
                </c:pt>
                <c:pt idx="68">
                  <c:v>177.92606350628907</c:v>
                </c:pt>
                <c:pt idx="69">
                  <c:v>174.53219725591885</c:v>
                </c:pt>
                <c:pt idx="70">
                  <c:v>171.19832834387427</c:v>
                </c:pt>
                <c:pt idx="71">
                  <c:v>167.9249772840551</c:v>
                </c:pt>
                <c:pt idx="72">
                  <c:v>164.71243024975266</c:v>
                </c:pt>
                <c:pt idx="73">
                  <c:v>161.56076959830855</c:v>
                </c:pt>
                <c:pt idx="74">
                  <c:v>158.46990089169751</c:v>
                </c:pt>
                <c:pt idx="75">
                  <c:v>155.43957679925998</c:v>
                </c:pt>
                <c:pt idx="76">
                  <c:v>152.46941822881328</c:v>
                </c:pt>
                <c:pt idx="77">
                  <c:v>149.55893299582331</c:v>
                </c:pt>
                <c:pt idx="78">
                  <c:v>146.70753230711958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9B-4B26-8F90-5793AF95E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7052"/>
        <c:axId val="847809034"/>
      </c:scatterChart>
      <c:valAx>
        <c:axId val="147070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n-US" sz="1200" b="0" i="0">
                    <a:solidFill>
                      <a:srgbClr val="222222"/>
                    </a:solidFill>
                    <a:latin typeface="Roboto"/>
                  </a:rPr>
                  <a:t>Airspeed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847809034"/>
        <c:crosses val="autoZero"/>
        <c:crossBetween val="midCat"/>
      </c:valAx>
      <c:valAx>
        <c:axId val="847809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n-US" sz="1200" b="0" i="0">
                    <a:solidFill>
                      <a:srgbClr val="222222"/>
                    </a:solidFill>
                    <a:latin typeface="Roboto"/>
                  </a:rPr>
                  <a:t>Flight Time and Range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4707052"/>
        <c:crosses val="autoZero"/>
        <c:crossBetween val="midCat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8672"/>
          <c:y val="0.12218999999999999"/>
          <c:w val="0.72199000000000002"/>
          <c:h val="0.71382999999999996"/>
        </c:manualLayout>
      </c:layout>
      <c:scatterChart>
        <c:scatterStyle val="lineMarker"/>
        <c:varyColors val="1"/>
        <c:ser>
          <c:idx val="0"/>
          <c:order val="0"/>
          <c:tx>
            <c:strRef>
              <c:f>'Post-Hover Cruise Trends'!$C$1</c:f>
              <c:strCache>
                <c:ptCount val="1"/>
                <c:pt idx="0">
                  <c:v>Flight Time (min)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'Post-Hover Cruise Trends'!$A$5:$A$80</c:f>
              <c:numCache>
                <c:formatCode>General</c:formatCode>
                <c:ptCount val="76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  <c:pt idx="18">
                  <c:v>13.5</c:v>
                </c:pt>
                <c:pt idx="19">
                  <c:v>14</c:v>
                </c:pt>
                <c:pt idx="20">
                  <c:v>14.5</c:v>
                </c:pt>
                <c:pt idx="21">
                  <c:v>15</c:v>
                </c:pt>
                <c:pt idx="22">
                  <c:v>15.5</c:v>
                </c:pt>
                <c:pt idx="23">
                  <c:v>16</c:v>
                </c:pt>
                <c:pt idx="24">
                  <c:v>16.5</c:v>
                </c:pt>
                <c:pt idx="25">
                  <c:v>17</c:v>
                </c:pt>
                <c:pt idx="26">
                  <c:v>17.5</c:v>
                </c:pt>
                <c:pt idx="27">
                  <c:v>18</c:v>
                </c:pt>
                <c:pt idx="28">
                  <c:v>18.5</c:v>
                </c:pt>
                <c:pt idx="29">
                  <c:v>19</c:v>
                </c:pt>
                <c:pt idx="30">
                  <c:v>19.5</c:v>
                </c:pt>
                <c:pt idx="31">
                  <c:v>20</c:v>
                </c:pt>
                <c:pt idx="32">
                  <c:v>20.5</c:v>
                </c:pt>
                <c:pt idx="33">
                  <c:v>21</c:v>
                </c:pt>
                <c:pt idx="34">
                  <c:v>21.5</c:v>
                </c:pt>
                <c:pt idx="35">
                  <c:v>22</c:v>
                </c:pt>
                <c:pt idx="36">
                  <c:v>22.5</c:v>
                </c:pt>
                <c:pt idx="37">
                  <c:v>23</c:v>
                </c:pt>
                <c:pt idx="38">
                  <c:v>23.5</c:v>
                </c:pt>
                <c:pt idx="39">
                  <c:v>24</c:v>
                </c:pt>
                <c:pt idx="40">
                  <c:v>24.5</c:v>
                </c:pt>
                <c:pt idx="41">
                  <c:v>25</c:v>
                </c:pt>
                <c:pt idx="42">
                  <c:v>25.5</c:v>
                </c:pt>
                <c:pt idx="43">
                  <c:v>26</c:v>
                </c:pt>
                <c:pt idx="44">
                  <c:v>26.5</c:v>
                </c:pt>
                <c:pt idx="45">
                  <c:v>27</c:v>
                </c:pt>
                <c:pt idx="46">
                  <c:v>27.5</c:v>
                </c:pt>
                <c:pt idx="47">
                  <c:v>28</c:v>
                </c:pt>
                <c:pt idx="48">
                  <c:v>28.5</c:v>
                </c:pt>
                <c:pt idx="49">
                  <c:v>29</c:v>
                </c:pt>
                <c:pt idx="50">
                  <c:v>29.5</c:v>
                </c:pt>
                <c:pt idx="51">
                  <c:v>30</c:v>
                </c:pt>
                <c:pt idx="52">
                  <c:v>30.5</c:v>
                </c:pt>
                <c:pt idx="53">
                  <c:v>31</c:v>
                </c:pt>
                <c:pt idx="54">
                  <c:v>31.5</c:v>
                </c:pt>
                <c:pt idx="55">
                  <c:v>32</c:v>
                </c:pt>
                <c:pt idx="56">
                  <c:v>32.5</c:v>
                </c:pt>
                <c:pt idx="57">
                  <c:v>33</c:v>
                </c:pt>
                <c:pt idx="58">
                  <c:v>33.5</c:v>
                </c:pt>
                <c:pt idx="59">
                  <c:v>34</c:v>
                </c:pt>
                <c:pt idx="60">
                  <c:v>34.5</c:v>
                </c:pt>
                <c:pt idx="61">
                  <c:v>35</c:v>
                </c:pt>
                <c:pt idx="62">
                  <c:v>35.5</c:v>
                </c:pt>
                <c:pt idx="63">
                  <c:v>36</c:v>
                </c:pt>
                <c:pt idx="64">
                  <c:v>36.5</c:v>
                </c:pt>
                <c:pt idx="65">
                  <c:v>37</c:v>
                </c:pt>
                <c:pt idx="66">
                  <c:v>37.5</c:v>
                </c:pt>
                <c:pt idx="67">
                  <c:v>38</c:v>
                </c:pt>
                <c:pt idx="68">
                  <c:v>38.5</c:v>
                </c:pt>
                <c:pt idx="69">
                  <c:v>39</c:v>
                </c:pt>
                <c:pt idx="70">
                  <c:v>39.5</c:v>
                </c:pt>
                <c:pt idx="71">
                  <c:v>40</c:v>
                </c:pt>
                <c:pt idx="72">
                  <c:v>40.5</c:v>
                </c:pt>
                <c:pt idx="73">
                  <c:v>41</c:v>
                </c:pt>
                <c:pt idx="74">
                  <c:v>41.5</c:v>
                </c:pt>
                <c:pt idx="75">
                  <c:v>42</c:v>
                </c:pt>
              </c:numCache>
            </c:numRef>
          </c:xVal>
          <c:yVal>
            <c:numRef>
              <c:f>'Post-Hover Cruise Trends'!$C$2:$C$80</c:f>
              <c:numCache>
                <c:formatCode>0.0</c:formatCode>
                <c:ptCount val="79"/>
                <c:pt idx="2">
                  <c:v>8.4982740742924854</c:v>
                </c:pt>
                <c:pt idx="3">
                  <c:v>12.450042962369498</c:v>
                </c:pt>
                <c:pt idx="4">
                  <c:v>17.306954913945962</c:v>
                </c:pt>
                <c:pt idx="5">
                  <c:v>23.068030562098578</c:v>
                </c:pt>
                <c:pt idx="6">
                  <c:v>29.708783702614891</c:v>
                </c:pt>
                <c:pt idx="7">
                  <c:v>37.18464211239872</c:v>
                </c:pt>
                <c:pt idx="8">
                  <c:v>45.433418435134428</c:v>
                </c:pt>
                <c:pt idx="9">
                  <c:v>54.376986105154074</c:v>
                </c:pt>
                <c:pt idx="10">
                  <c:v>63.922464244769813</c:v>
                </c:pt>
                <c:pt idx="11">
                  <c:v>73.963251786988877</c:v>
                </c:pt>
                <c:pt idx="12">
                  <c:v>84.380224342117813</c:v>
                </c:pt>
                <c:pt idx="13">
                  <c:v>95.0433460085478</c:v>
                </c:pt>
                <c:pt idx="14">
                  <c:v>105.81386673105713</c:v>
                </c:pt>
                <c:pt idx="15">
                  <c:v>116.54718153388377</c:v>
                </c:pt>
                <c:pt idx="16">
                  <c:v>127.09632728840803</c:v>
                </c:pt>
                <c:pt idx="17">
                  <c:v>137.31599349049432</c:v>
                </c:pt>
                <c:pt idx="18">
                  <c:v>147.06683591907424</c:v>
                </c:pt>
                <c:pt idx="19">
                  <c:v>156.21981718939313</c:v>
                </c:pt>
                <c:pt idx="20">
                  <c:v>164.66026601836464</c:v>
                </c:pt>
                <c:pt idx="21">
                  <c:v>172.29135352609617</c:v>
                </c:pt>
                <c:pt idx="22">
                  <c:v>179.03673023866696</c:v>
                </c:pt>
                <c:pt idx="23">
                  <c:v>184.842145175068</c:v>
                </c:pt>
                <c:pt idx="24">
                  <c:v>189.67596645218839</c:v>
                </c:pt>
                <c:pt idx="25">
                  <c:v>193.52862605526445</c:v>
                </c:pt>
                <c:pt idx="26">
                  <c:v>196.41110469734954</c:v>
                </c:pt>
                <c:pt idx="27">
                  <c:v>198.35264400220973</c:v>
                </c:pt>
                <c:pt idx="28">
                  <c:v>199.39791563466687</c:v>
                </c:pt>
                <c:pt idx="29">
                  <c:v>199.60388917816425</c:v>
                </c:pt>
                <c:pt idx="30">
                  <c:v>199.03662614678572</c:v>
                </c:pt>
                <c:pt idx="31">
                  <c:v>197.76819342271509</c:v>
                </c:pt>
                <c:pt idx="32">
                  <c:v>195.87384387332074</c:v>
                </c:pt>
                <c:pt idx="33">
                  <c:v>193.4295627889536</c:v>
                </c:pt>
                <c:pt idx="34">
                  <c:v>190.51003240528954</c:v>
                </c:pt>
                <c:pt idx="35">
                  <c:v>187.1870273516044</c:v>
                </c:pt>
                <c:pt idx="36">
                  <c:v>183.52822352452083</c:v>
                </c:pt>
                <c:pt idx="37">
                  <c:v>179.59638201526559</c:v>
                </c:pt>
                <c:pt idx="38">
                  <c:v>175.44885748989029</c:v>
                </c:pt>
                <c:pt idx="39">
                  <c:v>171.13737531719303</c:v>
                </c:pt>
                <c:pt idx="40">
                  <c:v>166.70802198448959</c:v>
                </c:pt>
                <c:pt idx="41">
                  <c:v>162.20139721766134</c:v>
                </c:pt>
                <c:pt idx="42">
                  <c:v>157.6528822468899</c:v>
                </c:pt>
                <c:pt idx="43">
                  <c:v>153.09298566751153</c:v>
                </c:pt>
                <c:pt idx="44">
                  <c:v>148.54773549461029</c:v>
                </c:pt>
                <c:pt idx="45">
                  <c:v>144.03909274679671</c:v>
                </c:pt>
                <c:pt idx="46">
                  <c:v>139.58536789873239</c:v>
                </c:pt>
                <c:pt idx="47">
                  <c:v>135.20162666714856</c:v>
                </c:pt>
                <c:pt idx="48">
                  <c:v>130.90007581542119</c:v>
                </c:pt>
                <c:pt idx="49">
                  <c:v>126.69042302728286</c:v>
                </c:pt>
                <c:pt idx="50">
                  <c:v>122.58020750335365</c:v>
                </c:pt>
                <c:pt idx="51">
                  <c:v>118.57509988564601</c:v>
                </c:pt>
                <c:pt idx="52">
                  <c:v>114.67917152841849</c:v>
                </c:pt>
                <c:pt idx="53">
                  <c:v>110.89513411516631</c:v>
                </c:pt>
                <c:pt idx="54">
                  <c:v>107.22455126556432</c:v>
                </c:pt>
                <c:pt idx="55">
                  <c:v>103.66802416325987</c:v>
                </c:pt>
                <c:pt idx="56">
                  <c:v>100.22535343187351</c:v>
                </c:pt>
                <c:pt idx="57">
                  <c:v>96.895679545689475</c:v>
                </c:pt>
                <c:pt idx="58">
                  <c:v>93.677604025105367</c:v>
                </c:pt>
                <c:pt idx="59">
                  <c:v>90.569293567043232</c:v>
                </c:pt>
                <c:pt idx="60">
                  <c:v>87.568569121314752</c:v>
                </c:pt>
                <c:pt idx="61">
                  <c:v>84.672981763091656</c:v>
                </c:pt>
                <c:pt idx="62">
                  <c:v>81.879877041845859</c:v>
                </c:pt>
                <c:pt idx="63">
                  <c:v>79.1864493172137</c:v>
                </c:pt>
                <c:pt idx="64">
                  <c:v>76.58978742809181</c:v>
                </c:pt>
                <c:pt idx="65">
                  <c:v>74.086912886603812</c:v>
                </c:pt>
                <c:pt idx="66">
                  <c:v>71.67481164551954</c:v>
                </c:pt>
                <c:pt idx="67">
                  <c:v>69.350460357254505</c:v>
                </c:pt>
                <c:pt idx="68">
                  <c:v>67.110847924951912</c:v>
                </c:pt>
                <c:pt idx="69">
                  <c:v>64.952993041032784</c:v>
                </c:pt>
                <c:pt idx="70">
                  <c:v>62.873958315359189</c:v>
                </c:pt>
                <c:pt idx="71">
                  <c:v>60.870861512941566</c:v>
                </c:pt>
                <c:pt idx="72">
                  <c:v>58.940884349001628</c:v>
                </c:pt>
                <c:pt idx="73">
                  <c:v>57.081279226203939</c:v>
                </c:pt>
                <c:pt idx="74">
                  <c:v>55.28937424403999</c:v>
                </c:pt>
                <c:pt idx="75">
                  <c:v>53.562576762773922</c:v>
                </c:pt>
                <c:pt idx="76">
                  <c:v>51.898375763191829</c:v>
                </c:pt>
                <c:pt idx="77">
                  <c:v>50.294343207855043</c:v>
                </c:pt>
                <c:pt idx="78">
                  <c:v>48.748134578935087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2D-497B-A690-BECA7E89FB7D}"/>
            </c:ext>
          </c:extLst>
        </c:ser>
        <c:ser>
          <c:idx val="1"/>
          <c:order val="1"/>
          <c:tx>
            <c:strRef>
              <c:f>'Post-Hover Cruise Trends'!$D$1</c:f>
              <c:strCache>
                <c:ptCount val="1"/>
                <c:pt idx="0">
                  <c:v>Range (km)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DC3912"/>
              </a:solidFill>
              <a:ln cmpd="sng">
                <a:solidFill>
                  <a:srgbClr val="DC3912"/>
                </a:solidFill>
              </a:ln>
            </c:spPr>
          </c:marker>
          <c:xVal>
            <c:numRef>
              <c:f>'Post-Hover Cruise Trends'!$A$5:$A$80</c:f>
              <c:numCache>
                <c:formatCode>General</c:formatCode>
                <c:ptCount val="76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  <c:pt idx="18">
                  <c:v>13.5</c:v>
                </c:pt>
                <c:pt idx="19">
                  <c:v>14</c:v>
                </c:pt>
                <c:pt idx="20">
                  <c:v>14.5</c:v>
                </c:pt>
                <c:pt idx="21">
                  <c:v>15</c:v>
                </c:pt>
                <c:pt idx="22">
                  <c:v>15.5</c:v>
                </c:pt>
                <c:pt idx="23">
                  <c:v>16</c:v>
                </c:pt>
                <c:pt idx="24">
                  <c:v>16.5</c:v>
                </c:pt>
                <c:pt idx="25">
                  <c:v>17</c:v>
                </c:pt>
                <c:pt idx="26">
                  <c:v>17.5</c:v>
                </c:pt>
                <c:pt idx="27">
                  <c:v>18</c:v>
                </c:pt>
                <c:pt idx="28">
                  <c:v>18.5</c:v>
                </c:pt>
                <c:pt idx="29">
                  <c:v>19</c:v>
                </c:pt>
                <c:pt idx="30">
                  <c:v>19.5</c:v>
                </c:pt>
                <c:pt idx="31">
                  <c:v>20</c:v>
                </c:pt>
                <c:pt idx="32">
                  <c:v>20.5</c:v>
                </c:pt>
                <c:pt idx="33">
                  <c:v>21</c:v>
                </c:pt>
                <c:pt idx="34">
                  <c:v>21.5</c:v>
                </c:pt>
                <c:pt idx="35">
                  <c:v>22</c:v>
                </c:pt>
                <c:pt idx="36">
                  <c:v>22.5</c:v>
                </c:pt>
                <c:pt idx="37">
                  <c:v>23</c:v>
                </c:pt>
                <c:pt idx="38">
                  <c:v>23.5</c:v>
                </c:pt>
                <c:pt idx="39">
                  <c:v>24</c:v>
                </c:pt>
                <c:pt idx="40">
                  <c:v>24.5</c:v>
                </c:pt>
                <c:pt idx="41">
                  <c:v>25</c:v>
                </c:pt>
                <c:pt idx="42">
                  <c:v>25.5</c:v>
                </c:pt>
                <c:pt idx="43">
                  <c:v>26</c:v>
                </c:pt>
                <c:pt idx="44">
                  <c:v>26.5</c:v>
                </c:pt>
                <c:pt idx="45">
                  <c:v>27</c:v>
                </c:pt>
                <c:pt idx="46">
                  <c:v>27.5</c:v>
                </c:pt>
                <c:pt idx="47">
                  <c:v>28</c:v>
                </c:pt>
                <c:pt idx="48">
                  <c:v>28.5</c:v>
                </c:pt>
                <c:pt idx="49">
                  <c:v>29</c:v>
                </c:pt>
                <c:pt idx="50">
                  <c:v>29.5</c:v>
                </c:pt>
                <c:pt idx="51">
                  <c:v>30</c:v>
                </c:pt>
                <c:pt idx="52">
                  <c:v>30.5</c:v>
                </c:pt>
                <c:pt idx="53">
                  <c:v>31</c:v>
                </c:pt>
                <c:pt idx="54">
                  <c:v>31.5</c:v>
                </c:pt>
                <c:pt idx="55">
                  <c:v>32</c:v>
                </c:pt>
                <c:pt idx="56">
                  <c:v>32.5</c:v>
                </c:pt>
                <c:pt idx="57">
                  <c:v>33</c:v>
                </c:pt>
                <c:pt idx="58">
                  <c:v>33.5</c:v>
                </c:pt>
                <c:pt idx="59">
                  <c:v>34</c:v>
                </c:pt>
                <c:pt idx="60">
                  <c:v>34.5</c:v>
                </c:pt>
                <c:pt idx="61">
                  <c:v>35</c:v>
                </c:pt>
                <c:pt idx="62">
                  <c:v>35.5</c:v>
                </c:pt>
                <c:pt idx="63">
                  <c:v>36</c:v>
                </c:pt>
                <c:pt idx="64">
                  <c:v>36.5</c:v>
                </c:pt>
                <c:pt idx="65">
                  <c:v>37</c:v>
                </c:pt>
                <c:pt idx="66">
                  <c:v>37.5</c:v>
                </c:pt>
                <c:pt idx="67">
                  <c:v>38</c:v>
                </c:pt>
                <c:pt idx="68">
                  <c:v>38.5</c:v>
                </c:pt>
                <c:pt idx="69">
                  <c:v>39</c:v>
                </c:pt>
                <c:pt idx="70">
                  <c:v>39.5</c:v>
                </c:pt>
                <c:pt idx="71">
                  <c:v>40</c:v>
                </c:pt>
                <c:pt idx="72">
                  <c:v>40.5</c:v>
                </c:pt>
                <c:pt idx="73">
                  <c:v>41</c:v>
                </c:pt>
                <c:pt idx="74">
                  <c:v>41.5</c:v>
                </c:pt>
                <c:pt idx="75">
                  <c:v>42</c:v>
                </c:pt>
              </c:numCache>
            </c:numRef>
          </c:xVal>
          <c:yVal>
            <c:numRef>
              <c:f>'Post-Hover Cruise Trends'!$D$2:$D$80</c:f>
              <c:numCache>
                <c:formatCode>0.0</c:formatCode>
                <c:ptCount val="79"/>
                <c:pt idx="2">
                  <c:v>2.0395857778301965</c:v>
                </c:pt>
                <c:pt idx="3">
                  <c:v>3.3615115998397642</c:v>
                </c:pt>
                <c:pt idx="4">
                  <c:v>5.1920864741837889</c:v>
                </c:pt>
                <c:pt idx="5">
                  <c:v>7.6124500854925312</c:v>
                </c:pt>
                <c:pt idx="6">
                  <c:v>10.695162132941361</c:v>
                </c:pt>
                <c:pt idx="7">
                  <c:v>14.502010423835502</c:v>
                </c:pt>
                <c:pt idx="8">
                  <c:v>19.08203574275646</c:v>
                </c:pt>
                <c:pt idx="9">
                  <c:v>24.469643747319331</c:v>
                </c:pt>
                <c:pt idx="10">
                  <c:v>30.682782837489512</c:v>
                </c:pt>
                <c:pt idx="11">
                  <c:v>37.721258411364332</c:v>
                </c:pt>
                <c:pt idx="12">
                  <c:v>45.565321144743621</c:v>
                </c:pt>
                <c:pt idx="13">
                  <c:v>54.17470722487225</c:v>
                </c:pt>
                <c:pt idx="14">
                  <c:v>63.488320038634278</c:v>
                </c:pt>
                <c:pt idx="15">
                  <c:v>73.42472436634678</c:v>
                </c:pt>
                <c:pt idx="16">
                  <c:v>83.883576010349302</c:v>
                </c:pt>
                <c:pt idx="17">
                  <c:v>94.748035508441077</c:v>
                </c:pt>
                <c:pt idx="18">
                  <c:v>105.88812186173347</c:v>
                </c:pt>
                <c:pt idx="19">
                  <c:v>117.16486289204484</c:v>
                </c:pt>
                <c:pt idx="20">
                  <c:v>128.43500749432442</c:v>
                </c:pt>
                <c:pt idx="21">
                  <c:v>139.55599635613788</c:v>
                </c:pt>
                <c:pt idx="22">
                  <c:v>150.39085340048024</c:v>
                </c:pt>
                <c:pt idx="23">
                  <c:v>160.81266630230917</c:v>
                </c:pt>
                <c:pt idx="24">
                  <c:v>170.70836980696956</c:v>
                </c:pt>
                <c:pt idx="25">
                  <c:v>179.98162223139593</c:v>
                </c:pt>
                <c:pt idx="26">
                  <c:v>188.55466050945557</c:v>
                </c:pt>
                <c:pt idx="27">
                  <c:v>196.36911756218763</c:v>
                </c:pt>
                <c:pt idx="28">
                  <c:v>203.38587394736021</c:v>
                </c:pt>
                <c:pt idx="29">
                  <c:v>209.58408363707247</c:v>
                </c:pt>
                <c:pt idx="30">
                  <c:v>214.95955623852856</c:v>
                </c:pt>
                <c:pt idx="31">
                  <c:v>219.52269469921373</c:v>
                </c:pt>
                <c:pt idx="32">
                  <c:v>223.29618201558563</c:v>
                </c:pt>
                <c:pt idx="33">
                  <c:v>226.31258846307571</c:v>
                </c:pt>
                <c:pt idx="34">
                  <c:v>228.61203888634745</c:v>
                </c:pt>
                <c:pt idx="35">
                  <c:v>230.24004364247344</c:v>
                </c:pt>
                <c:pt idx="36">
                  <c:v>231.24556164089626</c:v>
                </c:pt>
                <c:pt idx="37">
                  <c:v>231.67933279969262</c:v>
                </c:pt>
                <c:pt idx="38">
                  <c:v>231.59249188665518</c:v>
                </c:pt>
                <c:pt idx="39">
                  <c:v>231.03545667821061</c:v>
                </c:pt>
                <c:pt idx="40">
                  <c:v>230.05707033859562</c:v>
                </c:pt>
                <c:pt idx="41">
                  <c:v>228.70397007690246</c:v>
                </c:pt>
                <c:pt idx="42">
                  <c:v>227.02015043552143</c:v>
                </c:pt>
                <c:pt idx="43">
                  <c:v>225.04668893124196</c:v>
                </c:pt>
                <c:pt idx="44">
                  <c:v>222.82160324191545</c:v>
                </c:pt>
                <c:pt idx="45">
                  <c:v>220.37981190259896</c:v>
                </c:pt>
                <c:pt idx="46">
                  <c:v>217.75317392202251</c:v>
                </c:pt>
                <c:pt idx="47">
                  <c:v>214.97058640076622</c:v>
                </c:pt>
                <c:pt idx="48">
                  <c:v>212.05812282098233</c:v>
                </c:pt>
                <c:pt idx="49">
                  <c:v>209.03919799501674</c:v>
                </c:pt>
                <c:pt idx="50">
                  <c:v>205.93474860563413</c:v>
                </c:pt>
                <c:pt idx="51">
                  <c:v>202.76342080445468</c:v>
                </c:pt>
                <c:pt idx="52">
                  <c:v>199.54175845944818</c:v>
                </c:pt>
                <c:pt idx="53">
                  <c:v>196.28438738384438</c:v>
                </c:pt>
                <c:pt idx="54">
                  <c:v>193.00419227801578</c:v>
                </c:pt>
                <c:pt idx="55">
                  <c:v>189.71248421876558</c:v>
                </c:pt>
                <c:pt idx="56">
                  <c:v>186.41915738328473</c:v>
                </c:pt>
                <c:pt idx="57">
                  <c:v>183.13283434135309</c:v>
                </c:pt>
                <c:pt idx="58">
                  <c:v>179.8609997282023</c:v>
                </c:pt>
                <c:pt idx="59">
                  <c:v>176.61012245573431</c:v>
                </c:pt>
                <c:pt idx="60">
                  <c:v>173.3857668602032</c:v>
                </c:pt>
                <c:pt idx="61">
                  <c:v>170.19269334381423</c:v>
                </c:pt>
                <c:pt idx="62">
                  <c:v>167.03494916536553</c:v>
                </c:pt>
                <c:pt idx="63">
                  <c:v>163.91595008663236</c:v>
                </c:pt>
                <c:pt idx="64">
                  <c:v>160.83855359899283</c:v>
                </c:pt>
                <c:pt idx="65">
                  <c:v>157.8051244484661</c:v>
                </c:pt>
                <c:pt idx="66">
                  <c:v>154.81759315432217</c:v>
                </c:pt>
                <c:pt idx="67">
                  <c:v>151.8775081823874</c:v>
                </c:pt>
                <c:pt idx="68">
                  <c:v>148.98608239339325</c:v>
                </c:pt>
                <c:pt idx="69">
                  <c:v>146.14423434232376</c:v>
                </c:pt>
                <c:pt idx="70">
                  <c:v>143.35262495901895</c:v>
                </c:pt>
                <c:pt idx="71">
                  <c:v>140.61169009489501</c:v>
                </c:pt>
                <c:pt idx="72">
                  <c:v>137.9216693766638</c:v>
                </c:pt>
                <c:pt idx="73">
                  <c:v>135.28263176610332</c:v>
                </c:pt>
                <c:pt idx="74">
                  <c:v>132.69449818569598</c:v>
                </c:pt>
                <c:pt idx="75">
                  <c:v>130.15706153354063</c:v>
                </c:pt>
                <c:pt idx="76">
                  <c:v>127.67000437745192</c:v>
                </c:pt>
                <c:pt idx="77">
                  <c:v>125.23291458755907</c:v>
                </c:pt>
                <c:pt idx="78">
                  <c:v>122.84529913891642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2D-497B-A690-BECA7E89F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906537"/>
        <c:axId val="693728949"/>
      </c:scatterChart>
      <c:valAx>
        <c:axId val="1038906537"/>
        <c:scaling>
          <c:orientation val="minMax"/>
          <c:max val="3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n-US" sz="1200" b="0" i="0">
                    <a:solidFill>
                      <a:srgbClr val="222222"/>
                    </a:solidFill>
                    <a:latin typeface="Roboto"/>
                  </a:rPr>
                  <a:t>Airspeed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693728949"/>
        <c:crosses val="autoZero"/>
        <c:crossBetween val="midCat"/>
      </c:valAx>
      <c:valAx>
        <c:axId val="693728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n-US" sz="1200" b="0" i="0">
                    <a:solidFill>
                      <a:srgbClr val="222222"/>
                    </a:solidFill>
                    <a:latin typeface="Roboto"/>
                  </a:rPr>
                  <a:t>Flight Time and Range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038906537"/>
        <c:crosses val="autoZero"/>
        <c:crossBetween val="midCat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 i="0">
                <a:solidFill>
                  <a:srgbClr val="000000"/>
                </a:solidFill>
                <a:latin typeface="Roboto"/>
              </a:defRPr>
            </a:pPr>
            <a:r>
              <a:rPr sz="1600" b="0" i="0">
                <a:solidFill>
                  <a:srgbClr val="000000"/>
                </a:solidFill>
                <a:latin typeface="Roboto"/>
              </a:rPr>
              <a:t>Power (W)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'Cruise Trends'!$B$96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'Cruise Trends'!$A$97:$A$175</c:f>
              <c:numCache>
                <c:formatCode>General</c:formatCode>
                <c:ptCount val="79"/>
                <c:pt idx="0" formatCode="0.0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  <c:pt idx="17">
                  <c:v>11.5</c:v>
                </c:pt>
                <c:pt idx="18">
                  <c:v>12</c:v>
                </c:pt>
                <c:pt idx="19">
                  <c:v>12.5</c:v>
                </c:pt>
                <c:pt idx="20">
                  <c:v>13</c:v>
                </c:pt>
                <c:pt idx="21">
                  <c:v>13.5</c:v>
                </c:pt>
                <c:pt idx="22">
                  <c:v>14</c:v>
                </c:pt>
                <c:pt idx="23">
                  <c:v>14.5</c:v>
                </c:pt>
                <c:pt idx="24">
                  <c:v>15</c:v>
                </c:pt>
                <c:pt idx="25">
                  <c:v>15.5</c:v>
                </c:pt>
                <c:pt idx="26">
                  <c:v>16</c:v>
                </c:pt>
                <c:pt idx="27">
                  <c:v>16.5</c:v>
                </c:pt>
                <c:pt idx="28">
                  <c:v>17</c:v>
                </c:pt>
                <c:pt idx="29">
                  <c:v>17.5</c:v>
                </c:pt>
                <c:pt idx="30">
                  <c:v>18</c:v>
                </c:pt>
                <c:pt idx="31">
                  <c:v>18.5</c:v>
                </c:pt>
                <c:pt idx="32">
                  <c:v>19</c:v>
                </c:pt>
                <c:pt idx="33">
                  <c:v>19.5</c:v>
                </c:pt>
                <c:pt idx="34">
                  <c:v>20</c:v>
                </c:pt>
                <c:pt idx="35">
                  <c:v>20.5</c:v>
                </c:pt>
                <c:pt idx="36">
                  <c:v>21</c:v>
                </c:pt>
                <c:pt idx="37">
                  <c:v>21.5</c:v>
                </c:pt>
                <c:pt idx="38">
                  <c:v>22</c:v>
                </c:pt>
                <c:pt idx="39">
                  <c:v>22.5</c:v>
                </c:pt>
                <c:pt idx="40">
                  <c:v>23</c:v>
                </c:pt>
                <c:pt idx="41">
                  <c:v>23.5</c:v>
                </c:pt>
                <c:pt idx="42">
                  <c:v>24</c:v>
                </c:pt>
                <c:pt idx="43">
                  <c:v>24.5</c:v>
                </c:pt>
                <c:pt idx="44">
                  <c:v>25</c:v>
                </c:pt>
                <c:pt idx="45">
                  <c:v>25.5</c:v>
                </c:pt>
                <c:pt idx="46">
                  <c:v>26</c:v>
                </c:pt>
                <c:pt idx="47">
                  <c:v>26.5</c:v>
                </c:pt>
                <c:pt idx="48">
                  <c:v>27</c:v>
                </c:pt>
                <c:pt idx="49">
                  <c:v>27.5</c:v>
                </c:pt>
                <c:pt idx="50">
                  <c:v>28</c:v>
                </c:pt>
                <c:pt idx="51">
                  <c:v>28.5</c:v>
                </c:pt>
                <c:pt idx="52">
                  <c:v>29</c:v>
                </c:pt>
                <c:pt idx="53">
                  <c:v>29.5</c:v>
                </c:pt>
                <c:pt idx="54">
                  <c:v>30</c:v>
                </c:pt>
                <c:pt idx="55">
                  <c:v>30.5</c:v>
                </c:pt>
                <c:pt idx="56">
                  <c:v>31</c:v>
                </c:pt>
                <c:pt idx="57">
                  <c:v>31.5</c:v>
                </c:pt>
                <c:pt idx="58">
                  <c:v>32</c:v>
                </c:pt>
                <c:pt idx="59">
                  <c:v>32.5</c:v>
                </c:pt>
                <c:pt idx="60">
                  <c:v>33</c:v>
                </c:pt>
                <c:pt idx="61">
                  <c:v>33.5</c:v>
                </c:pt>
                <c:pt idx="62">
                  <c:v>34</c:v>
                </c:pt>
                <c:pt idx="63">
                  <c:v>34.5</c:v>
                </c:pt>
                <c:pt idx="64">
                  <c:v>35</c:v>
                </c:pt>
                <c:pt idx="65">
                  <c:v>35.5</c:v>
                </c:pt>
                <c:pt idx="66">
                  <c:v>36</c:v>
                </c:pt>
                <c:pt idx="67">
                  <c:v>36.5</c:v>
                </c:pt>
                <c:pt idx="68">
                  <c:v>37</c:v>
                </c:pt>
                <c:pt idx="69">
                  <c:v>37.5</c:v>
                </c:pt>
                <c:pt idx="70">
                  <c:v>38</c:v>
                </c:pt>
                <c:pt idx="71">
                  <c:v>38.5</c:v>
                </c:pt>
                <c:pt idx="72">
                  <c:v>39</c:v>
                </c:pt>
                <c:pt idx="73">
                  <c:v>39.5</c:v>
                </c:pt>
                <c:pt idx="74">
                  <c:v>40</c:v>
                </c:pt>
                <c:pt idx="75">
                  <c:v>40.5</c:v>
                </c:pt>
                <c:pt idx="76">
                  <c:v>41</c:v>
                </c:pt>
                <c:pt idx="77">
                  <c:v>41.5</c:v>
                </c:pt>
                <c:pt idx="78">
                  <c:v>42</c:v>
                </c:pt>
              </c:numCache>
            </c:numRef>
          </c:xVal>
          <c:yVal>
            <c:numRef>
              <c:f>'Cruise Trends'!$B$97:$B$175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B6-4F0A-A76D-A7A97105B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12788"/>
        <c:axId val="176940717"/>
      </c:scatterChart>
      <c:valAx>
        <c:axId val="1985127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sz="1200" b="0" i="0">
                    <a:solidFill>
                      <a:srgbClr val="222222"/>
                    </a:solidFill>
                    <a:latin typeface="Roboto"/>
                  </a:rPr>
                  <a:t>Airspeed (m/s)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76940717"/>
        <c:crosses val="autoZero"/>
        <c:crossBetween val="midCat"/>
      </c:valAx>
      <c:valAx>
        <c:axId val="176940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sz="1200" b="0" i="0">
                    <a:solidFill>
                      <a:srgbClr val="222222"/>
                    </a:solidFill>
                    <a:latin typeface="Roboto"/>
                  </a:rPr>
                  <a:t>Power 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98512788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'Cruise Trends'!$B$177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'Cruise Trends'!$A$178:$A$256</c:f>
              <c:numCache>
                <c:formatCode>General</c:formatCode>
                <c:ptCount val="79"/>
                <c:pt idx="0" formatCode="0.0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  <c:pt idx="17">
                  <c:v>11.5</c:v>
                </c:pt>
                <c:pt idx="18">
                  <c:v>12</c:v>
                </c:pt>
                <c:pt idx="19">
                  <c:v>12.5</c:v>
                </c:pt>
                <c:pt idx="20">
                  <c:v>13</c:v>
                </c:pt>
                <c:pt idx="21">
                  <c:v>13.5</c:v>
                </c:pt>
                <c:pt idx="22">
                  <c:v>14</c:v>
                </c:pt>
                <c:pt idx="23">
                  <c:v>14.5</c:v>
                </c:pt>
                <c:pt idx="24">
                  <c:v>15</c:v>
                </c:pt>
                <c:pt idx="25">
                  <c:v>15.5</c:v>
                </c:pt>
                <c:pt idx="26">
                  <c:v>16</c:v>
                </c:pt>
                <c:pt idx="27">
                  <c:v>16.5</c:v>
                </c:pt>
                <c:pt idx="28">
                  <c:v>17</c:v>
                </c:pt>
                <c:pt idx="29">
                  <c:v>17.5</c:v>
                </c:pt>
                <c:pt idx="30">
                  <c:v>18</c:v>
                </c:pt>
                <c:pt idx="31">
                  <c:v>18.5</c:v>
                </c:pt>
                <c:pt idx="32">
                  <c:v>19</c:v>
                </c:pt>
                <c:pt idx="33">
                  <c:v>19.5</c:v>
                </c:pt>
                <c:pt idx="34">
                  <c:v>20</c:v>
                </c:pt>
                <c:pt idx="35">
                  <c:v>20.5</c:v>
                </c:pt>
                <c:pt idx="36">
                  <c:v>21</c:v>
                </c:pt>
                <c:pt idx="37">
                  <c:v>21.5</c:v>
                </c:pt>
                <c:pt idx="38">
                  <c:v>22</c:v>
                </c:pt>
                <c:pt idx="39">
                  <c:v>22.5</c:v>
                </c:pt>
                <c:pt idx="40">
                  <c:v>23</c:v>
                </c:pt>
                <c:pt idx="41">
                  <c:v>23.5</c:v>
                </c:pt>
                <c:pt idx="42">
                  <c:v>24</c:v>
                </c:pt>
                <c:pt idx="43">
                  <c:v>24.5</c:v>
                </c:pt>
                <c:pt idx="44">
                  <c:v>25</c:v>
                </c:pt>
                <c:pt idx="45">
                  <c:v>25.5</c:v>
                </c:pt>
                <c:pt idx="46">
                  <c:v>26</c:v>
                </c:pt>
                <c:pt idx="47">
                  <c:v>26.5</c:v>
                </c:pt>
                <c:pt idx="48">
                  <c:v>27</c:v>
                </c:pt>
                <c:pt idx="49">
                  <c:v>27.5</c:v>
                </c:pt>
                <c:pt idx="50">
                  <c:v>28</c:v>
                </c:pt>
                <c:pt idx="51">
                  <c:v>28.5</c:v>
                </c:pt>
                <c:pt idx="52">
                  <c:v>29</c:v>
                </c:pt>
                <c:pt idx="53">
                  <c:v>29.5</c:v>
                </c:pt>
                <c:pt idx="54">
                  <c:v>30</c:v>
                </c:pt>
                <c:pt idx="55">
                  <c:v>30.5</c:v>
                </c:pt>
                <c:pt idx="56">
                  <c:v>31</c:v>
                </c:pt>
                <c:pt idx="57">
                  <c:v>31.5</c:v>
                </c:pt>
                <c:pt idx="58">
                  <c:v>32</c:v>
                </c:pt>
                <c:pt idx="59">
                  <c:v>32.5</c:v>
                </c:pt>
                <c:pt idx="60">
                  <c:v>33</c:v>
                </c:pt>
                <c:pt idx="61">
                  <c:v>33.5</c:v>
                </c:pt>
                <c:pt idx="62">
                  <c:v>34</c:v>
                </c:pt>
                <c:pt idx="63">
                  <c:v>34.5</c:v>
                </c:pt>
                <c:pt idx="64">
                  <c:v>35</c:v>
                </c:pt>
                <c:pt idx="65">
                  <c:v>35.5</c:v>
                </c:pt>
                <c:pt idx="66">
                  <c:v>36</c:v>
                </c:pt>
                <c:pt idx="67">
                  <c:v>36.5</c:v>
                </c:pt>
                <c:pt idx="68">
                  <c:v>37</c:v>
                </c:pt>
                <c:pt idx="69">
                  <c:v>37.5</c:v>
                </c:pt>
                <c:pt idx="70">
                  <c:v>38</c:v>
                </c:pt>
                <c:pt idx="71">
                  <c:v>38.5</c:v>
                </c:pt>
                <c:pt idx="72">
                  <c:v>39</c:v>
                </c:pt>
                <c:pt idx="73">
                  <c:v>39.5</c:v>
                </c:pt>
                <c:pt idx="74">
                  <c:v>40</c:v>
                </c:pt>
                <c:pt idx="75">
                  <c:v>40.5</c:v>
                </c:pt>
                <c:pt idx="76">
                  <c:v>41</c:v>
                </c:pt>
                <c:pt idx="77">
                  <c:v>41.5</c:v>
                </c:pt>
                <c:pt idx="78">
                  <c:v>42</c:v>
                </c:pt>
              </c:numCache>
            </c:numRef>
          </c:xVal>
          <c:yVal>
            <c:numRef>
              <c:f>'Cruise Trends'!$B$178:$B$256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B1-49EF-AC0F-A1E603A2B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091976"/>
        <c:axId val="385955047"/>
      </c:scatterChart>
      <c:valAx>
        <c:axId val="18670919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385955047"/>
        <c:crosses val="autoZero"/>
        <c:crossBetween val="midCat"/>
      </c:valAx>
      <c:valAx>
        <c:axId val="385955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Drag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867091976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 i="0">
                <a:solidFill>
                  <a:srgbClr val="000000"/>
                </a:solidFill>
                <a:latin typeface="Roboto"/>
              </a:defRPr>
            </a:pPr>
            <a:r>
              <a:rPr sz="1600" b="0" i="0">
                <a:solidFill>
                  <a:srgbClr val="000000"/>
                </a:solidFill>
                <a:latin typeface="Roboto"/>
              </a:rPr>
              <a:t>Power (W)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'Post-Hover Cruise Trends'!$B$96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'Post-Hover Cruise Trends'!$A$97:$A$175</c:f>
              <c:numCache>
                <c:formatCode>General</c:formatCode>
                <c:ptCount val="79"/>
                <c:pt idx="0" formatCode="0.0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  <c:pt idx="17">
                  <c:v>11.5</c:v>
                </c:pt>
                <c:pt idx="18">
                  <c:v>12</c:v>
                </c:pt>
                <c:pt idx="19">
                  <c:v>12.5</c:v>
                </c:pt>
                <c:pt idx="20">
                  <c:v>13</c:v>
                </c:pt>
                <c:pt idx="21">
                  <c:v>13.5</c:v>
                </c:pt>
                <c:pt idx="22">
                  <c:v>14</c:v>
                </c:pt>
                <c:pt idx="23">
                  <c:v>14.5</c:v>
                </c:pt>
                <c:pt idx="24">
                  <c:v>15</c:v>
                </c:pt>
                <c:pt idx="25">
                  <c:v>15.5</c:v>
                </c:pt>
                <c:pt idx="26">
                  <c:v>16</c:v>
                </c:pt>
                <c:pt idx="27">
                  <c:v>16.5</c:v>
                </c:pt>
                <c:pt idx="28">
                  <c:v>17</c:v>
                </c:pt>
                <c:pt idx="29">
                  <c:v>17.5</c:v>
                </c:pt>
                <c:pt idx="30">
                  <c:v>18</c:v>
                </c:pt>
                <c:pt idx="31">
                  <c:v>18.5</c:v>
                </c:pt>
                <c:pt idx="32">
                  <c:v>19</c:v>
                </c:pt>
                <c:pt idx="33">
                  <c:v>19.5</c:v>
                </c:pt>
                <c:pt idx="34">
                  <c:v>20</c:v>
                </c:pt>
                <c:pt idx="35">
                  <c:v>20.5</c:v>
                </c:pt>
                <c:pt idx="36">
                  <c:v>21</c:v>
                </c:pt>
                <c:pt idx="37">
                  <c:v>21.5</c:v>
                </c:pt>
                <c:pt idx="38">
                  <c:v>22</c:v>
                </c:pt>
                <c:pt idx="39">
                  <c:v>22.5</c:v>
                </c:pt>
                <c:pt idx="40">
                  <c:v>23</c:v>
                </c:pt>
                <c:pt idx="41">
                  <c:v>23.5</c:v>
                </c:pt>
                <c:pt idx="42">
                  <c:v>24</c:v>
                </c:pt>
                <c:pt idx="43">
                  <c:v>24.5</c:v>
                </c:pt>
                <c:pt idx="44">
                  <c:v>25</c:v>
                </c:pt>
                <c:pt idx="45">
                  <c:v>25.5</c:v>
                </c:pt>
                <c:pt idx="46">
                  <c:v>26</c:v>
                </c:pt>
                <c:pt idx="47">
                  <c:v>26.5</c:v>
                </c:pt>
                <c:pt idx="48">
                  <c:v>27</c:v>
                </c:pt>
                <c:pt idx="49">
                  <c:v>27.5</c:v>
                </c:pt>
                <c:pt idx="50">
                  <c:v>28</c:v>
                </c:pt>
                <c:pt idx="51">
                  <c:v>28.5</c:v>
                </c:pt>
                <c:pt idx="52">
                  <c:v>29</c:v>
                </c:pt>
                <c:pt idx="53">
                  <c:v>29.5</c:v>
                </c:pt>
                <c:pt idx="54">
                  <c:v>30</c:v>
                </c:pt>
                <c:pt idx="55">
                  <c:v>30.5</c:v>
                </c:pt>
                <c:pt idx="56">
                  <c:v>31</c:v>
                </c:pt>
                <c:pt idx="57">
                  <c:v>31.5</c:v>
                </c:pt>
                <c:pt idx="58">
                  <c:v>32</c:v>
                </c:pt>
                <c:pt idx="59">
                  <c:v>32.5</c:v>
                </c:pt>
                <c:pt idx="60">
                  <c:v>33</c:v>
                </c:pt>
                <c:pt idx="61">
                  <c:v>33.5</c:v>
                </c:pt>
                <c:pt idx="62">
                  <c:v>34</c:v>
                </c:pt>
                <c:pt idx="63">
                  <c:v>34.5</c:v>
                </c:pt>
                <c:pt idx="64">
                  <c:v>35</c:v>
                </c:pt>
                <c:pt idx="65">
                  <c:v>35.5</c:v>
                </c:pt>
                <c:pt idx="66">
                  <c:v>36</c:v>
                </c:pt>
                <c:pt idx="67">
                  <c:v>36.5</c:v>
                </c:pt>
                <c:pt idx="68">
                  <c:v>37</c:v>
                </c:pt>
                <c:pt idx="69">
                  <c:v>37.5</c:v>
                </c:pt>
                <c:pt idx="70">
                  <c:v>38</c:v>
                </c:pt>
                <c:pt idx="71">
                  <c:v>38.5</c:v>
                </c:pt>
                <c:pt idx="72">
                  <c:v>39</c:v>
                </c:pt>
                <c:pt idx="73">
                  <c:v>39.5</c:v>
                </c:pt>
                <c:pt idx="74">
                  <c:v>40</c:v>
                </c:pt>
                <c:pt idx="75">
                  <c:v>40.5</c:v>
                </c:pt>
                <c:pt idx="76">
                  <c:v>41</c:v>
                </c:pt>
                <c:pt idx="77">
                  <c:v>41.5</c:v>
                </c:pt>
                <c:pt idx="78">
                  <c:v>42</c:v>
                </c:pt>
              </c:numCache>
            </c:numRef>
          </c:xVal>
          <c:yVal>
            <c:numRef>
              <c:f>'Post-Hover Cruise Trends'!$B$97:$B$175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3B-4F71-9CA9-8F39590C1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60857"/>
        <c:axId val="1919516337"/>
      </c:scatterChart>
      <c:valAx>
        <c:axId val="1115608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sz="1200" b="0" i="0">
                    <a:solidFill>
                      <a:srgbClr val="222222"/>
                    </a:solidFill>
                    <a:latin typeface="Roboto"/>
                  </a:rPr>
                  <a:t>Airspeed (m/s)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919516337"/>
        <c:crosses val="autoZero"/>
        <c:crossBetween val="midCat"/>
      </c:valAx>
      <c:valAx>
        <c:axId val="1919516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222222"/>
                    </a:solidFill>
                    <a:latin typeface="Roboto"/>
                  </a:defRPr>
                </a:pPr>
                <a:r>
                  <a:rPr sz="1200" b="0" i="0">
                    <a:solidFill>
                      <a:srgbClr val="222222"/>
                    </a:solidFill>
                    <a:latin typeface="Roboto"/>
                  </a:rPr>
                  <a:t>Power 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1560857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'Post-Hover Cruise Trends'!$B$177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'Post-Hover Cruise Trends'!$A$178:$A$256</c:f>
              <c:numCache>
                <c:formatCode>General</c:formatCode>
                <c:ptCount val="79"/>
                <c:pt idx="0" formatCode="0.0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  <c:pt idx="17">
                  <c:v>11.5</c:v>
                </c:pt>
                <c:pt idx="18">
                  <c:v>12</c:v>
                </c:pt>
                <c:pt idx="19">
                  <c:v>12.5</c:v>
                </c:pt>
                <c:pt idx="20">
                  <c:v>13</c:v>
                </c:pt>
                <c:pt idx="21">
                  <c:v>13.5</c:v>
                </c:pt>
                <c:pt idx="22">
                  <c:v>14</c:v>
                </c:pt>
                <c:pt idx="23">
                  <c:v>14.5</c:v>
                </c:pt>
                <c:pt idx="24">
                  <c:v>15</c:v>
                </c:pt>
                <c:pt idx="25">
                  <c:v>15.5</c:v>
                </c:pt>
                <c:pt idx="26">
                  <c:v>16</c:v>
                </c:pt>
                <c:pt idx="27">
                  <c:v>16.5</c:v>
                </c:pt>
                <c:pt idx="28">
                  <c:v>17</c:v>
                </c:pt>
                <c:pt idx="29">
                  <c:v>17.5</c:v>
                </c:pt>
                <c:pt idx="30">
                  <c:v>18</c:v>
                </c:pt>
                <c:pt idx="31">
                  <c:v>18.5</c:v>
                </c:pt>
                <c:pt idx="32">
                  <c:v>19</c:v>
                </c:pt>
                <c:pt idx="33">
                  <c:v>19.5</c:v>
                </c:pt>
                <c:pt idx="34">
                  <c:v>20</c:v>
                </c:pt>
                <c:pt idx="35">
                  <c:v>20.5</c:v>
                </c:pt>
                <c:pt idx="36">
                  <c:v>21</c:v>
                </c:pt>
                <c:pt idx="37">
                  <c:v>21.5</c:v>
                </c:pt>
                <c:pt idx="38">
                  <c:v>22</c:v>
                </c:pt>
                <c:pt idx="39">
                  <c:v>22.5</c:v>
                </c:pt>
                <c:pt idx="40">
                  <c:v>23</c:v>
                </c:pt>
                <c:pt idx="41">
                  <c:v>23.5</c:v>
                </c:pt>
                <c:pt idx="42">
                  <c:v>24</c:v>
                </c:pt>
                <c:pt idx="43">
                  <c:v>24.5</c:v>
                </c:pt>
                <c:pt idx="44">
                  <c:v>25</c:v>
                </c:pt>
                <c:pt idx="45">
                  <c:v>25.5</c:v>
                </c:pt>
                <c:pt idx="46">
                  <c:v>26</c:v>
                </c:pt>
                <c:pt idx="47">
                  <c:v>26.5</c:v>
                </c:pt>
                <c:pt idx="48">
                  <c:v>27</c:v>
                </c:pt>
                <c:pt idx="49">
                  <c:v>27.5</c:v>
                </c:pt>
                <c:pt idx="50">
                  <c:v>28</c:v>
                </c:pt>
                <c:pt idx="51">
                  <c:v>28.5</c:v>
                </c:pt>
                <c:pt idx="52">
                  <c:v>29</c:v>
                </c:pt>
                <c:pt idx="53">
                  <c:v>29.5</c:v>
                </c:pt>
                <c:pt idx="54">
                  <c:v>30</c:v>
                </c:pt>
                <c:pt idx="55">
                  <c:v>30.5</c:v>
                </c:pt>
                <c:pt idx="56">
                  <c:v>31</c:v>
                </c:pt>
                <c:pt idx="57">
                  <c:v>31.5</c:v>
                </c:pt>
                <c:pt idx="58">
                  <c:v>32</c:v>
                </c:pt>
                <c:pt idx="59">
                  <c:v>32.5</c:v>
                </c:pt>
                <c:pt idx="60">
                  <c:v>33</c:v>
                </c:pt>
                <c:pt idx="61">
                  <c:v>33.5</c:v>
                </c:pt>
                <c:pt idx="62">
                  <c:v>34</c:v>
                </c:pt>
                <c:pt idx="63">
                  <c:v>34.5</c:v>
                </c:pt>
                <c:pt idx="64">
                  <c:v>35</c:v>
                </c:pt>
                <c:pt idx="65">
                  <c:v>35.5</c:v>
                </c:pt>
                <c:pt idx="66">
                  <c:v>36</c:v>
                </c:pt>
                <c:pt idx="67">
                  <c:v>36.5</c:v>
                </c:pt>
                <c:pt idx="68">
                  <c:v>37</c:v>
                </c:pt>
                <c:pt idx="69">
                  <c:v>37.5</c:v>
                </c:pt>
                <c:pt idx="70">
                  <c:v>38</c:v>
                </c:pt>
                <c:pt idx="71">
                  <c:v>38.5</c:v>
                </c:pt>
                <c:pt idx="72">
                  <c:v>39</c:v>
                </c:pt>
                <c:pt idx="73">
                  <c:v>39.5</c:v>
                </c:pt>
                <c:pt idx="74">
                  <c:v>40</c:v>
                </c:pt>
                <c:pt idx="75">
                  <c:v>40.5</c:v>
                </c:pt>
                <c:pt idx="76">
                  <c:v>41</c:v>
                </c:pt>
                <c:pt idx="77">
                  <c:v>41.5</c:v>
                </c:pt>
                <c:pt idx="78">
                  <c:v>42</c:v>
                </c:pt>
              </c:numCache>
            </c:numRef>
          </c:xVal>
          <c:yVal>
            <c:numRef>
              <c:f>'Post-Hover Cruise Trends'!$B$178:$B$256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CE-4692-9391-502601EA2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83634"/>
        <c:axId val="885312779"/>
      </c:scatterChart>
      <c:valAx>
        <c:axId val="6307836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885312779"/>
        <c:crosses val="autoZero"/>
        <c:crossBetween val="midCat"/>
      </c:valAx>
      <c:valAx>
        <c:axId val="885312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Drag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630783634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Power (W) vs. Thrust (kg)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'Forward Motor Static Thrust Cur'!$D$1</c:f>
              <c:strCache>
                <c:ptCount val="1"/>
                <c:pt idx="0">
                  <c:v>Power (W)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'Forward Motor Static Thrust Cur'!$A$2:$A$12</c:f>
              <c:numCache>
                <c:formatCode>General</c:formatCode>
                <c:ptCount val="11"/>
                <c:pt idx="0">
                  <c:v>0.97299999999999998</c:v>
                </c:pt>
                <c:pt idx="1">
                  <c:v>1.169</c:v>
                </c:pt>
                <c:pt idx="2">
                  <c:v>1.4079999999999999</c:v>
                </c:pt>
                <c:pt idx="3">
                  <c:v>1.6890000000000001</c:v>
                </c:pt>
                <c:pt idx="4">
                  <c:v>1.954</c:v>
                </c:pt>
                <c:pt idx="5">
                  <c:v>2.2469999999999999</c:v>
                </c:pt>
                <c:pt idx="6">
                  <c:v>2.5289999999999999</c:v>
                </c:pt>
                <c:pt idx="7">
                  <c:v>2.863</c:v>
                </c:pt>
                <c:pt idx="8">
                  <c:v>3.2160000000000002</c:v>
                </c:pt>
                <c:pt idx="9">
                  <c:v>3.7869999999999999</c:v>
                </c:pt>
                <c:pt idx="10">
                  <c:v>4.1159999999999997</c:v>
                </c:pt>
              </c:numCache>
            </c:numRef>
          </c:xVal>
          <c:yVal>
            <c:numRef>
              <c:f>'Forward Motor Static Thrust Cur'!$D$2:$D$12</c:f>
              <c:numCache>
                <c:formatCode>General</c:formatCode>
                <c:ptCount val="11"/>
                <c:pt idx="0">
                  <c:v>115.79</c:v>
                </c:pt>
                <c:pt idx="1">
                  <c:v>150.66</c:v>
                </c:pt>
                <c:pt idx="2">
                  <c:v>190.74</c:v>
                </c:pt>
                <c:pt idx="3">
                  <c:v>250.13</c:v>
                </c:pt>
                <c:pt idx="4">
                  <c:v>305.98</c:v>
                </c:pt>
                <c:pt idx="5">
                  <c:v>376.74</c:v>
                </c:pt>
                <c:pt idx="6">
                  <c:v>450.36</c:v>
                </c:pt>
                <c:pt idx="7">
                  <c:v>544.29999999999995</c:v>
                </c:pt>
                <c:pt idx="8">
                  <c:v>644.83000000000004</c:v>
                </c:pt>
                <c:pt idx="9">
                  <c:v>843.54</c:v>
                </c:pt>
                <c:pt idx="10">
                  <c:v>966.63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5-40BF-A42B-13590F2A8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91620"/>
        <c:axId val="1069648653"/>
      </c:scatterChart>
      <c:valAx>
        <c:axId val="5679916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Thrust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069648653"/>
        <c:crosses val="autoZero"/>
        <c:crossBetween val="midCat"/>
      </c:valAx>
      <c:valAx>
        <c:axId val="1069648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Power (W)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6799162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276224</xdr:colOff>
      <xdr:row>7</xdr:row>
      <xdr:rowOff>66675</xdr:rowOff>
    </xdr:from>
    <xdr:ext cx="5316855" cy="28765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590550</xdr:colOff>
      <xdr:row>39</xdr:row>
      <xdr:rowOff>161925</xdr:rowOff>
    </xdr:from>
    <xdr:ext cx="4457700" cy="28765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800100</xdr:colOff>
      <xdr:row>95</xdr:row>
      <xdr:rowOff>28575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514350</xdr:colOff>
      <xdr:row>176</xdr:row>
      <xdr:rowOff>171450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800100</xdr:colOff>
      <xdr:row>95</xdr:row>
      <xdr:rowOff>28575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514350</xdr:colOff>
      <xdr:row>176</xdr:row>
      <xdr:rowOff>171450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714375</xdr:colOff>
      <xdr:row>2</xdr:row>
      <xdr:rowOff>47625</xdr:rowOff>
    </xdr:from>
    <xdr:ext cx="7229475" cy="44672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relevant%20Examp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elevant Examp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rizonhobby.com/60-amp-pro-switch-mode-bec-brushless-esc-%28v2%29-efla1060b" TargetMode="External"/><Relationship Id="rId2" Type="http://schemas.openxmlformats.org/officeDocument/2006/relationships/hyperlink" Target="http://store-en.tmotor.com/goods.php?id=794" TargetMode="External"/><Relationship Id="rId1" Type="http://schemas.openxmlformats.org/officeDocument/2006/relationships/hyperlink" Target="http://store-en.tmotor.com/goods.php?id=699" TargetMode="External"/><Relationship Id="rId6" Type="http://schemas.openxmlformats.org/officeDocument/2006/relationships/hyperlink" Target="https://www.apcprop.com/product/14x8-5e/" TargetMode="External"/><Relationship Id="rId5" Type="http://schemas.openxmlformats.org/officeDocument/2006/relationships/hyperlink" Target="https://www.apcprop.com/product/14x8-5ep/" TargetMode="External"/><Relationship Id="rId4" Type="http://schemas.openxmlformats.org/officeDocument/2006/relationships/hyperlink" Target="http://store-en.tmotor.com/goods.php?id=38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cplanet.com/motors/airplane-motors/great-planes-rimfire-outrunner-brushless-motor-46-42-60-800-gpmg4725/" TargetMode="External"/><Relationship Id="rId1" Type="http://schemas.openxmlformats.org/officeDocument/2006/relationships/hyperlink" Target="https://www.horizonhobby.com/power-46-brushless-outrunner-motor--670kv-eflm4046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7"/>
  <sheetViews>
    <sheetView workbookViewId="0"/>
  </sheetViews>
  <sheetFormatPr defaultColWidth="12.6640625" defaultRowHeight="15" customHeight="1" x14ac:dyDescent="0.25"/>
  <sheetData>
    <row r="1" spans="1:1" ht="15" customHeight="1" x14ac:dyDescent="0.25">
      <c r="A1" s="1" t="s">
        <v>0</v>
      </c>
    </row>
    <row r="2" spans="1:1" ht="15" customHeight="1" x14ac:dyDescent="0.25">
      <c r="A2" s="2" t="s">
        <v>1</v>
      </c>
    </row>
    <row r="3" spans="1:1" ht="15" customHeight="1" x14ac:dyDescent="0.25">
      <c r="A3" s="2" t="s">
        <v>2</v>
      </c>
    </row>
    <row r="4" spans="1:1" ht="15" customHeight="1" x14ac:dyDescent="0.25">
      <c r="A4" s="2" t="s">
        <v>3</v>
      </c>
    </row>
    <row r="5" spans="1:1" ht="15" customHeight="1" x14ac:dyDescent="0.25">
      <c r="A5" s="2" t="s">
        <v>4</v>
      </c>
    </row>
    <row r="6" spans="1:1" ht="15" customHeight="1" x14ac:dyDescent="0.25">
      <c r="A6" s="2" t="s">
        <v>5</v>
      </c>
    </row>
    <row r="7" spans="1:1" ht="15" customHeight="1" x14ac:dyDescent="0.25">
      <c r="A7" s="2" t="s">
        <v>6</v>
      </c>
    </row>
    <row r="8" spans="1:1" ht="15" customHeight="1" x14ac:dyDescent="0.25">
      <c r="A8" s="2" t="s">
        <v>7</v>
      </c>
    </row>
    <row r="9" spans="1:1" ht="15" customHeight="1" x14ac:dyDescent="0.25">
      <c r="A9" s="2" t="s">
        <v>8</v>
      </c>
    </row>
    <row r="10" spans="1:1" ht="15" customHeight="1" x14ac:dyDescent="0.25">
      <c r="A10" s="2" t="s">
        <v>9</v>
      </c>
    </row>
    <row r="13" spans="1:1" ht="15" customHeight="1" x14ac:dyDescent="0.25">
      <c r="A13" s="1" t="s">
        <v>10</v>
      </c>
    </row>
    <row r="14" spans="1:1" ht="15" customHeight="1" x14ac:dyDescent="0.25">
      <c r="A14" s="2" t="s">
        <v>11</v>
      </c>
    </row>
    <row r="15" spans="1:1" ht="15" customHeight="1" x14ac:dyDescent="0.25">
      <c r="A15" s="2" t="s">
        <v>12</v>
      </c>
    </row>
    <row r="16" spans="1:1" ht="15" customHeight="1" x14ac:dyDescent="0.25">
      <c r="A16" s="2" t="s">
        <v>13</v>
      </c>
    </row>
    <row r="17" spans="1:1" ht="15" customHeight="1" x14ac:dyDescent="0.25">
      <c r="A1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K65"/>
  <sheetViews>
    <sheetView workbookViewId="0"/>
  </sheetViews>
  <sheetFormatPr defaultColWidth="12.6640625" defaultRowHeight="15" customHeight="1" x14ac:dyDescent="0.25"/>
  <cols>
    <col min="2" max="2" width="37.44140625" customWidth="1"/>
    <col min="3" max="3" width="11" customWidth="1"/>
    <col min="4" max="4" width="27.44140625" customWidth="1"/>
    <col min="5" max="5" width="28" customWidth="1"/>
    <col min="7" max="7" width="18.21875" customWidth="1"/>
  </cols>
  <sheetData>
    <row r="2" spans="2:7" ht="15" customHeight="1" x14ac:dyDescent="0.25">
      <c r="B2" s="85" t="s">
        <v>15</v>
      </c>
      <c r="C2" s="86"/>
      <c r="D2" s="87"/>
    </row>
    <row r="3" spans="2:7" ht="15" customHeight="1" x14ac:dyDescent="0.25">
      <c r="B3" s="3"/>
      <c r="C3" s="3" t="s">
        <v>16</v>
      </c>
      <c r="D3" s="5" t="s">
        <v>17</v>
      </c>
    </row>
    <row r="4" spans="2:7" ht="15" customHeight="1" x14ac:dyDescent="0.25">
      <c r="B4" s="6" t="s">
        <v>18</v>
      </c>
      <c r="C4" s="7">
        <v>4.55</v>
      </c>
      <c r="D4" s="8" t="s">
        <v>19</v>
      </c>
      <c r="E4" s="2" t="s">
        <v>20</v>
      </c>
      <c r="F4">
        <f>C4*2.2</f>
        <v>10.01</v>
      </c>
      <c r="G4" s="2" t="s">
        <v>21</v>
      </c>
    </row>
    <row r="5" spans="2:7" ht="15" customHeight="1" x14ac:dyDescent="0.25">
      <c r="B5" s="9" t="s">
        <v>22</v>
      </c>
      <c r="C5" s="7">
        <v>4.0000000000000001E-3</v>
      </c>
      <c r="D5" s="10"/>
      <c r="E5" s="2" t="s">
        <v>23</v>
      </c>
    </row>
    <row r="6" spans="2:7" ht="15" customHeight="1" x14ac:dyDescent="0.25">
      <c r="B6" s="9" t="s">
        <v>24</v>
      </c>
      <c r="C6" s="7">
        <v>0.06</v>
      </c>
      <c r="D6" s="10"/>
      <c r="E6" s="2" t="s">
        <v>25</v>
      </c>
    </row>
    <row r="7" spans="2:7" ht="15" customHeight="1" x14ac:dyDescent="0.25">
      <c r="B7" s="11" t="s">
        <v>26</v>
      </c>
      <c r="C7" s="7">
        <v>0.03</v>
      </c>
      <c r="D7" s="10"/>
      <c r="E7" s="2" t="s">
        <v>27</v>
      </c>
    </row>
    <row r="8" spans="2:7" ht="15" customHeight="1" x14ac:dyDescent="0.25">
      <c r="B8" s="11" t="s">
        <v>28</v>
      </c>
      <c r="C8" s="7">
        <v>0</v>
      </c>
      <c r="D8" s="10"/>
    </row>
    <row r="9" spans="2:7" ht="15" customHeight="1" x14ac:dyDescent="0.25">
      <c r="B9" s="11" t="s">
        <v>29</v>
      </c>
      <c r="C9" s="7">
        <v>0.05</v>
      </c>
      <c r="D9" s="10"/>
    </row>
    <row r="10" spans="2:7" ht="15" customHeight="1" x14ac:dyDescent="0.25">
      <c r="B10" s="6" t="s">
        <v>30</v>
      </c>
      <c r="C10" s="12">
        <v>1.0999999999999999E-2</v>
      </c>
      <c r="D10" s="13"/>
      <c r="E10" s="2" t="s">
        <v>31</v>
      </c>
    </row>
    <row r="11" spans="2:7" ht="15" customHeight="1" x14ac:dyDescent="0.25">
      <c r="B11" s="6" t="s">
        <v>32</v>
      </c>
      <c r="C11" s="12">
        <v>0.2</v>
      </c>
      <c r="D11" s="13"/>
      <c r="E11" s="2" t="s">
        <v>33</v>
      </c>
    </row>
    <row r="12" spans="2:7" ht="15" customHeight="1" x14ac:dyDescent="0.25">
      <c r="B12" s="6" t="s">
        <v>34</v>
      </c>
      <c r="C12" s="14">
        <f>C10*'Systems Param+Perf'!C64+C11</f>
        <v>0.55200000000000005</v>
      </c>
      <c r="D12" s="13"/>
      <c r="E12" s="15" t="s">
        <v>35</v>
      </c>
    </row>
    <row r="13" spans="2:7" ht="15" customHeight="1" x14ac:dyDescent="0.25">
      <c r="B13" s="6" t="s">
        <v>36</v>
      </c>
      <c r="C13" s="12">
        <v>0.06</v>
      </c>
      <c r="D13" s="13"/>
    </row>
    <row r="14" spans="2:7" ht="15" customHeight="1" x14ac:dyDescent="0.25">
      <c r="B14" s="6" t="s">
        <v>37</v>
      </c>
      <c r="C14" s="12">
        <v>0</v>
      </c>
      <c r="D14" s="13"/>
    </row>
    <row r="15" spans="2:7" ht="15" customHeight="1" x14ac:dyDescent="0.25">
      <c r="B15" s="6" t="s">
        <v>38</v>
      </c>
      <c r="C15" s="12">
        <v>0.05</v>
      </c>
      <c r="D15" s="13"/>
    </row>
    <row r="16" spans="2:7" ht="15" customHeight="1" x14ac:dyDescent="0.25">
      <c r="B16" s="6" t="s">
        <v>39</v>
      </c>
      <c r="C16" s="14">
        <f>C13+C14</f>
        <v>0.06</v>
      </c>
      <c r="D16" s="10"/>
    </row>
    <row r="19" spans="2:11" ht="15" customHeight="1" x14ac:dyDescent="0.25">
      <c r="B19" s="85" t="s">
        <v>40</v>
      </c>
      <c r="C19" s="86"/>
      <c r="D19" s="87"/>
      <c r="G19" s="16"/>
      <c r="H19" s="16"/>
      <c r="I19" s="17" t="s">
        <v>41</v>
      </c>
      <c r="J19" s="18"/>
      <c r="K19" s="11"/>
    </row>
    <row r="20" spans="2:11" ht="15" customHeight="1" x14ac:dyDescent="0.25">
      <c r="B20" s="19"/>
      <c r="C20" s="3" t="s">
        <v>16</v>
      </c>
      <c r="D20" s="5" t="s">
        <v>17</v>
      </c>
      <c r="G20" s="15"/>
      <c r="H20" s="15"/>
      <c r="I20" s="20" t="s">
        <v>42</v>
      </c>
      <c r="J20" s="11"/>
      <c r="K20" s="11"/>
    </row>
    <row r="21" spans="2:11" ht="15" customHeight="1" x14ac:dyDescent="0.25">
      <c r="B21" s="21" t="s">
        <v>43</v>
      </c>
      <c r="C21" s="7">
        <v>0.47460000000000002</v>
      </c>
      <c r="D21" s="10"/>
      <c r="E21" s="2" t="s">
        <v>44</v>
      </c>
      <c r="G21" s="2"/>
      <c r="H21" s="2"/>
      <c r="I21" s="11" t="s">
        <v>45</v>
      </c>
      <c r="J21" s="22">
        <v>0.3</v>
      </c>
      <c r="K21" s="11" t="s">
        <v>19</v>
      </c>
    </row>
    <row r="22" spans="2:11" ht="15" customHeight="1" x14ac:dyDescent="0.25">
      <c r="B22" s="21" t="s">
        <v>46</v>
      </c>
      <c r="C22" s="7">
        <v>0.316</v>
      </c>
      <c r="D22" s="10"/>
      <c r="E22" s="2" t="s">
        <v>47</v>
      </c>
      <c r="G22" s="2"/>
      <c r="H22" s="2"/>
      <c r="I22" s="11" t="s">
        <v>48</v>
      </c>
      <c r="J22" s="23">
        <f>J21*9.81</f>
        <v>2.9430000000000001</v>
      </c>
      <c r="K22" s="11" t="s">
        <v>49</v>
      </c>
    </row>
    <row r="23" spans="2:11" ht="15" customHeight="1" x14ac:dyDescent="0.25">
      <c r="B23" s="21" t="s">
        <v>50</v>
      </c>
      <c r="C23" s="12">
        <v>0.28499999999999998</v>
      </c>
      <c r="D23" s="13"/>
      <c r="E23" s="2" t="s">
        <v>51</v>
      </c>
      <c r="G23" s="2"/>
      <c r="H23" s="2"/>
      <c r="I23" s="11" t="s">
        <v>52</v>
      </c>
      <c r="J23" s="22">
        <v>1.7</v>
      </c>
      <c r="K23" s="11" t="s">
        <v>53</v>
      </c>
    </row>
    <row r="24" spans="2:11" ht="15" customHeight="1" x14ac:dyDescent="0.25">
      <c r="B24" s="11" t="s">
        <v>54</v>
      </c>
      <c r="C24" s="22">
        <v>0</v>
      </c>
      <c r="D24" s="11"/>
      <c r="G24" s="2"/>
      <c r="H24" s="2"/>
      <c r="I24" s="11"/>
      <c r="J24" s="24"/>
      <c r="K24" s="11"/>
    </row>
    <row r="25" spans="2:11" ht="15" customHeight="1" x14ac:dyDescent="0.25">
      <c r="B25" s="11" t="s">
        <v>55</v>
      </c>
      <c r="C25" s="22">
        <v>0</v>
      </c>
      <c r="D25" s="11"/>
      <c r="E25" s="2" t="s">
        <v>56</v>
      </c>
      <c r="G25" s="2"/>
      <c r="H25" s="2"/>
      <c r="I25" s="11"/>
      <c r="J25" s="24"/>
      <c r="K25" s="11"/>
    </row>
    <row r="26" spans="2:11" ht="15" customHeight="1" x14ac:dyDescent="0.25">
      <c r="B26" s="6" t="s">
        <v>57</v>
      </c>
      <c r="C26" s="12">
        <v>0.15</v>
      </c>
      <c r="D26" s="13"/>
      <c r="E26" s="2" t="s">
        <v>58</v>
      </c>
      <c r="G26" s="2"/>
      <c r="H26" s="2"/>
      <c r="I26" s="11"/>
      <c r="J26" s="24"/>
      <c r="K26" s="11"/>
    </row>
    <row r="27" spans="2:11" ht="15" customHeight="1" x14ac:dyDescent="0.25">
      <c r="B27" s="21" t="s">
        <v>59</v>
      </c>
      <c r="C27" s="25">
        <v>5.5E-2</v>
      </c>
      <c r="D27" s="13"/>
      <c r="E27" s="2" t="s">
        <v>60</v>
      </c>
      <c r="G27" s="2"/>
      <c r="H27" s="2"/>
      <c r="I27" s="11" t="s">
        <v>52</v>
      </c>
      <c r="J27" s="24">
        <f>J23*0.0254</f>
        <v>4.3179999999999996E-2</v>
      </c>
      <c r="K27" s="11" t="s">
        <v>61</v>
      </c>
    </row>
    <row r="28" spans="2:11" ht="15" customHeight="1" x14ac:dyDescent="0.25">
      <c r="B28" s="6" t="s">
        <v>62</v>
      </c>
      <c r="C28" s="12">
        <v>0.28999999999999998</v>
      </c>
      <c r="D28" s="13"/>
      <c r="G28" s="2"/>
      <c r="H28" s="2"/>
      <c r="I28" s="11" t="s">
        <v>63</v>
      </c>
      <c r="J28" s="24">
        <f>J22*J27</f>
        <v>0.12707874</v>
      </c>
      <c r="K28" s="11" t="s">
        <v>64</v>
      </c>
    </row>
    <row r="29" spans="2:11" ht="13.2" x14ac:dyDescent="0.25">
      <c r="B29" s="6" t="s">
        <v>65</v>
      </c>
      <c r="C29" s="12">
        <v>0.28999999999999998</v>
      </c>
      <c r="D29" s="13"/>
      <c r="I29" s="11"/>
      <c r="J29" s="11"/>
      <c r="K29" s="11"/>
    </row>
    <row r="30" spans="2:11" ht="13.2" x14ac:dyDescent="0.25">
      <c r="B30" s="6" t="s">
        <v>66</v>
      </c>
      <c r="C30" s="12">
        <v>0.3</v>
      </c>
      <c r="D30" s="13"/>
      <c r="G30" s="16"/>
      <c r="H30" s="16"/>
      <c r="I30" s="17" t="s">
        <v>67</v>
      </c>
      <c r="J30" s="18"/>
      <c r="K30" s="20" t="s">
        <v>68</v>
      </c>
    </row>
    <row r="31" spans="2:11" ht="13.2" x14ac:dyDescent="0.25">
      <c r="B31" s="6" t="s">
        <v>69</v>
      </c>
      <c r="C31" s="12">
        <v>0.3</v>
      </c>
      <c r="D31" s="13"/>
      <c r="G31" s="2"/>
      <c r="H31" s="2"/>
      <c r="I31" s="11" t="s">
        <v>70</v>
      </c>
      <c r="J31" s="22">
        <v>4.572E-4</v>
      </c>
      <c r="K31" s="11" t="s">
        <v>61</v>
      </c>
    </row>
    <row r="32" spans="2:11" ht="13.2" x14ac:dyDescent="0.25">
      <c r="B32" s="6" t="s">
        <v>71</v>
      </c>
      <c r="C32" s="12"/>
      <c r="D32" s="13"/>
      <c r="G32" s="2"/>
      <c r="H32" s="2"/>
      <c r="I32" s="11" t="s">
        <v>72</v>
      </c>
      <c r="J32" s="22">
        <v>0.03</v>
      </c>
      <c r="K32" s="11" t="s">
        <v>61</v>
      </c>
    </row>
    <row r="33" spans="2:11" ht="13.2" x14ac:dyDescent="0.25">
      <c r="B33" s="6" t="s">
        <v>73</v>
      </c>
      <c r="C33" s="12">
        <v>8.8999999999999996E-2</v>
      </c>
      <c r="D33" s="13"/>
      <c r="G33" s="2"/>
      <c r="H33" s="2"/>
      <c r="I33" s="11" t="s">
        <v>74</v>
      </c>
      <c r="J33" s="22">
        <v>0.8</v>
      </c>
      <c r="K33" s="11" t="s">
        <v>61</v>
      </c>
    </row>
    <row r="34" spans="2:11" ht="13.2" x14ac:dyDescent="0.25">
      <c r="B34" s="6" t="s">
        <v>75</v>
      </c>
      <c r="C34" s="12">
        <v>8.8999999999999996E-2</v>
      </c>
      <c r="D34" s="13"/>
      <c r="G34" s="2"/>
      <c r="H34" s="2"/>
      <c r="I34" s="11" t="s">
        <v>76</v>
      </c>
      <c r="J34" s="26">
        <f>(PI()*(J32/2)^2)*J33</f>
        <v>5.6548667764616273E-4</v>
      </c>
      <c r="K34" s="11" t="s">
        <v>77</v>
      </c>
    </row>
    <row r="35" spans="2:11" ht="13.2" x14ac:dyDescent="0.25">
      <c r="B35" s="6" t="s">
        <v>78</v>
      </c>
      <c r="C35" s="12">
        <v>8.8999999999999996E-2</v>
      </c>
      <c r="D35" s="13"/>
      <c r="G35" s="2"/>
      <c r="H35" s="2"/>
      <c r="I35" s="11" t="s">
        <v>79</v>
      </c>
      <c r="J35" s="24">
        <f>J34*45</f>
        <v>2.5446900494077322E-2</v>
      </c>
      <c r="K35" s="11" t="s">
        <v>19</v>
      </c>
    </row>
    <row r="36" spans="2:11" ht="13.2" x14ac:dyDescent="0.25">
      <c r="B36" s="6" t="s">
        <v>80</v>
      </c>
      <c r="C36" s="12">
        <v>8.8999999999999996E-2</v>
      </c>
      <c r="D36" s="13"/>
      <c r="G36" s="2"/>
      <c r="H36" s="2"/>
      <c r="I36" s="11" t="s">
        <v>81</v>
      </c>
      <c r="J36" s="27">
        <f>PI()*J32*J31*J33</f>
        <v>3.4472067869310084E-5</v>
      </c>
      <c r="K36" s="11" t="s">
        <v>77</v>
      </c>
    </row>
    <row r="37" spans="2:11" ht="13.2" x14ac:dyDescent="0.25">
      <c r="B37" s="6" t="s">
        <v>82</v>
      </c>
      <c r="C37" s="12">
        <v>0.5</v>
      </c>
      <c r="D37" s="13"/>
      <c r="E37" s="2" t="s">
        <v>83</v>
      </c>
      <c r="G37" s="2"/>
      <c r="H37" s="2"/>
      <c r="I37" s="11" t="s">
        <v>84</v>
      </c>
      <c r="J37" s="22">
        <v>1700</v>
      </c>
      <c r="K37" s="11" t="s">
        <v>85</v>
      </c>
    </row>
    <row r="38" spans="2:11" ht="13.2" x14ac:dyDescent="0.25">
      <c r="B38" s="6" t="s">
        <v>86</v>
      </c>
      <c r="C38" s="14">
        <f>C33+C35+C28+C30+(C37/2)</f>
        <v>1.018</v>
      </c>
      <c r="D38" s="13"/>
      <c r="E38" s="2"/>
      <c r="G38" s="2"/>
      <c r="H38" s="2"/>
      <c r="I38" s="11" t="s">
        <v>87</v>
      </c>
      <c r="J38" s="24">
        <f>J36*J37</f>
        <v>5.8602515377827145E-2</v>
      </c>
      <c r="K38" s="11" t="s">
        <v>19</v>
      </c>
    </row>
    <row r="39" spans="2:11" ht="13.2" x14ac:dyDescent="0.25">
      <c r="B39" s="6" t="s">
        <v>88</v>
      </c>
      <c r="C39" s="12">
        <v>0</v>
      </c>
      <c r="D39" s="13"/>
      <c r="E39" s="2" t="s">
        <v>89</v>
      </c>
      <c r="F39" s="2">
        <v>0.35</v>
      </c>
      <c r="I39" s="11"/>
      <c r="J39" s="11"/>
      <c r="K39" s="11"/>
    </row>
    <row r="40" spans="2:11" ht="13.2" x14ac:dyDescent="0.25">
      <c r="B40" s="6" t="s">
        <v>90</v>
      </c>
      <c r="C40" s="12">
        <v>0</v>
      </c>
      <c r="D40" s="13"/>
      <c r="E40" s="2" t="s">
        <v>89</v>
      </c>
      <c r="F40" s="2">
        <v>0.15</v>
      </c>
      <c r="I40" s="11"/>
      <c r="J40" s="11"/>
      <c r="K40" s="11"/>
    </row>
    <row r="41" spans="2:11" ht="13.2" x14ac:dyDescent="0.25">
      <c r="B41" s="6" t="s">
        <v>91</v>
      </c>
      <c r="C41" s="12">
        <v>0</v>
      </c>
      <c r="D41" s="13"/>
      <c r="E41" s="2" t="s">
        <v>89</v>
      </c>
      <c r="F41" s="2">
        <v>0.05</v>
      </c>
      <c r="I41" s="11"/>
      <c r="J41" s="11"/>
      <c r="K41" s="11"/>
    </row>
    <row r="42" spans="2:11" ht="13.2" x14ac:dyDescent="0.25">
      <c r="B42" s="6" t="s">
        <v>92</v>
      </c>
      <c r="C42" s="12">
        <v>748.9</v>
      </c>
      <c r="D42" s="13" t="s">
        <v>85</v>
      </c>
      <c r="E42" s="2" t="s">
        <v>93</v>
      </c>
      <c r="I42" s="11"/>
      <c r="J42" s="11"/>
      <c r="K42" s="11"/>
    </row>
    <row r="43" spans="2:11" ht="13.2" x14ac:dyDescent="0.25">
      <c r="B43" s="6" t="s">
        <v>94</v>
      </c>
      <c r="C43" s="14">
        <f>(C44/C42)*1000</f>
        <v>0</v>
      </c>
      <c r="D43" s="13" t="s">
        <v>95</v>
      </c>
      <c r="E43">
        <f>C43*0.264</f>
        <v>0</v>
      </c>
      <c r="F43" s="2" t="s">
        <v>96</v>
      </c>
      <c r="G43">
        <f>C43*1000</f>
        <v>0</v>
      </c>
      <c r="H43" s="2" t="s">
        <v>97</v>
      </c>
      <c r="I43" s="11"/>
      <c r="J43" s="11"/>
      <c r="K43" s="11"/>
    </row>
    <row r="44" spans="2:11" ht="13.2" x14ac:dyDescent="0.25">
      <c r="B44" s="6" t="s">
        <v>98</v>
      </c>
      <c r="C44" s="12">
        <v>0</v>
      </c>
      <c r="D44" s="13" t="s">
        <v>19</v>
      </c>
      <c r="E44">
        <f>C44*2.2046</f>
        <v>0</v>
      </c>
      <c r="F44" s="2" t="s">
        <v>21</v>
      </c>
      <c r="I44" s="11"/>
      <c r="J44" s="11"/>
      <c r="K44" s="11"/>
    </row>
    <row r="45" spans="2:11" ht="13.2" x14ac:dyDescent="0.25">
      <c r="B45" s="21" t="s">
        <v>99</v>
      </c>
      <c r="C45" s="7">
        <v>135</v>
      </c>
      <c r="D45" s="10" t="s">
        <v>100</v>
      </c>
      <c r="I45" s="11"/>
      <c r="J45" s="11"/>
      <c r="K45" s="11"/>
    </row>
    <row r="46" spans="2:11" ht="13.2" x14ac:dyDescent="0.25">
      <c r="B46" s="11" t="s">
        <v>101</v>
      </c>
      <c r="C46" s="28">
        <f>('Systems Param+Perf'!C52*'Systems Param+Perf'!C56*'Systems Param+Perf'!C58*0.001)/'Systems Param+Perf'!C53</f>
        <v>2.5437500000000006</v>
      </c>
      <c r="D46" s="11" t="s">
        <v>19</v>
      </c>
      <c r="E46">
        <f>C46*2.2046</f>
        <v>5.6079512500000019</v>
      </c>
      <c r="F46" s="2" t="s">
        <v>21</v>
      </c>
      <c r="G46" s="2"/>
      <c r="H46" s="2"/>
      <c r="I46" s="11" t="s">
        <v>102</v>
      </c>
      <c r="J46" s="24">
        <f>J38+J35</f>
        <v>8.4049415871904468E-2</v>
      </c>
      <c r="K46" s="11" t="s">
        <v>19</v>
      </c>
    </row>
    <row r="47" spans="2:11" ht="13.2" x14ac:dyDescent="0.25">
      <c r="I47" s="11"/>
      <c r="J47" s="11"/>
      <c r="K47" s="11"/>
    </row>
    <row r="48" spans="2:11" ht="13.2" x14ac:dyDescent="0.25">
      <c r="I48" s="11"/>
      <c r="J48" s="11"/>
      <c r="K48" s="11"/>
    </row>
    <row r="49" spans="2:11" ht="13.2" x14ac:dyDescent="0.25">
      <c r="B49" s="2"/>
      <c r="C49" s="2"/>
      <c r="D49" s="2"/>
      <c r="E49" s="2"/>
      <c r="G49" s="2"/>
      <c r="H49" s="2"/>
      <c r="I49" s="11" t="s">
        <v>103</v>
      </c>
      <c r="J49" s="22">
        <v>0.03</v>
      </c>
      <c r="K49" s="11" t="s">
        <v>19</v>
      </c>
    </row>
    <row r="50" spans="2:11" ht="13.2" x14ac:dyDescent="0.25">
      <c r="G50" s="2"/>
      <c r="H50" s="2"/>
      <c r="I50" s="11" t="s">
        <v>104</v>
      </c>
      <c r="J50" s="22">
        <v>2.8000000000000001E-2</v>
      </c>
      <c r="K50" s="11" t="s">
        <v>19</v>
      </c>
    </row>
    <row r="51" spans="2:11" ht="13.2" x14ac:dyDescent="0.25">
      <c r="B51" s="85" t="s">
        <v>105</v>
      </c>
      <c r="C51" s="86"/>
      <c r="D51" s="87"/>
      <c r="G51" s="2"/>
      <c r="H51" s="2"/>
      <c r="I51" s="11" t="s">
        <v>106</v>
      </c>
      <c r="J51" s="23">
        <f>J49+J50</f>
        <v>5.7999999999999996E-2</v>
      </c>
      <c r="K51" s="11" t="s">
        <v>19</v>
      </c>
    </row>
    <row r="52" spans="2:11" ht="13.2" x14ac:dyDescent="0.25">
      <c r="B52" s="19"/>
      <c r="C52" s="19"/>
      <c r="D52" s="5"/>
      <c r="I52" s="11"/>
      <c r="J52" s="11"/>
      <c r="K52" s="11"/>
    </row>
    <row r="53" spans="2:11" ht="13.2" x14ac:dyDescent="0.25">
      <c r="B53" s="11" t="s">
        <v>107</v>
      </c>
      <c r="C53" s="28">
        <f>C4/C60</f>
        <v>0.39925063726544024</v>
      </c>
      <c r="D53" s="4"/>
      <c r="E53" s="15"/>
      <c r="G53" s="1"/>
      <c r="H53" s="1"/>
      <c r="I53" s="29"/>
      <c r="J53" s="23"/>
      <c r="K53" s="11"/>
    </row>
    <row r="54" spans="2:11" ht="13.2" x14ac:dyDescent="0.25">
      <c r="B54" s="11" t="s">
        <v>108</v>
      </c>
      <c r="C54" s="28">
        <f>(C21+C22+(2*C23)+C26+C24+C25)/C60</f>
        <v>0.13255121157212613</v>
      </c>
      <c r="D54" s="4" t="s">
        <v>109</v>
      </c>
      <c r="E54" s="15"/>
      <c r="G54" s="1"/>
      <c r="H54" s="1"/>
      <c r="I54" s="29" t="s">
        <v>110</v>
      </c>
      <c r="J54" s="24">
        <f>J51+J46</f>
        <v>0.14204941587190445</v>
      </c>
      <c r="K54" s="11" t="s">
        <v>19</v>
      </c>
    </row>
    <row r="55" spans="2:11" ht="13.2" x14ac:dyDescent="0.25">
      <c r="B55" s="11" t="s">
        <v>111</v>
      </c>
      <c r="C55" s="28">
        <f>C12/C60</f>
        <v>4.843656082868638E-2</v>
      </c>
      <c r="D55" s="4" t="s">
        <v>109</v>
      </c>
      <c r="E55" s="15" t="s">
        <v>112</v>
      </c>
    </row>
    <row r="56" spans="2:11" ht="13.2" x14ac:dyDescent="0.25">
      <c r="B56" s="11" t="s">
        <v>113</v>
      </c>
      <c r="C56" s="28">
        <f>(2*C38)/C60</f>
        <v>0.17865369175218382</v>
      </c>
      <c r="D56" s="4" t="s">
        <v>109</v>
      </c>
    </row>
    <row r="57" spans="2:11" ht="13.2" x14ac:dyDescent="0.25">
      <c r="B57" s="11" t="s">
        <v>114</v>
      </c>
      <c r="C57" s="28">
        <f>C46/C60</f>
        <v>0.22320743044922284</v>
      </c>
      <c r="D57" s="4" t="s">
        <v>109</v>
      </c>
    </row>
    <row r="58" spans="2:11" ht="13.2" x14ac:dyDescent="0.25">
      <c r="B58" s="11" t="s">
        <v>115</v>
      </c>
      <c r="C58" s="28">
        <f>C44/C60</f>
        <v>0</v>
      </c>
      <c r="D58" s="4"/>
    </row>
    <row r="59" spans="2:11" ht="13.2" x14ac:dyDescent="0.25">
      <c r="B59" s="11"/>
      <c r="C59" s="30"/>
      <c r="D59" s="4"/>
      <c r="E59" s="2"/>
    </row>
    <row r="60" spans="2:11" ht="13.2" x14ac:dyDescent="0.25">
      <c r="B60" s="11" t="s">
        <v>116</v>
      </c>
      <c r="C60" s="30">
        <f>SUM(C4,C5,C6,C7,C8,C9,C12,C16,C21,C22,(2*C23),C28,C29,C30,C31,C32,C33,C34,C35,C36,C37,C26,C46,C24,C25,C39,C40,C41,C44)</f>
        <v>11.39635</v>
      </c>
      <c r="D60" s="11"/>
      <c r="E60" s="2" t="s">
        <v>117</v>
      </c>
    </row>
    <row r="61" spans="2:11" ht="13.2" x14ac:dyDescent="0.25">
      <c r="B61" s="11" t="s">
        <v>118</v>
      </c>
      <c r="C61" s="28">
        <f>C60*9.8</f>
        <v>111.68423000000001</v>
      </c>
      <c r="D61" s="11"/>
      <c r="E61" s="2" t="s">
        <v>117</v>
      </c>
    </row>
    <row r="62" spans="2:11" ht="13.2" x14ac:dyDescent="0.25">
      <c r="B62" s="11" t="s">
        <v>119</v>
      </c>
      <c r="C62" s="30">
        <f>C60*2.205</f>
        <v>25.128951750000002</v>
      </c>
      <c r="D62" s="11"/>
      <c r="E62" s="2" t="s">
        <v>117</v>
      </c>
    </row>
    <row r="65" spans="3:3" ht="13.2" x14ac:dyDescent="0.25">
      <c r="C65" s="31"/>
    </row>
  </sheetData>
  <mergeCells count="3">
    <mergeCell ref="B2:D2"/>
    <mergeCell ref="B19:D19"/>
    <mergeCell ref="B51:D5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86"/>
  <sheetViews>
    <sheetView workbookViewId="0"/>
  </sheetViews>
  <sheetFormatPr defaultColWidth="12.6640625" defaultRowHeight="15" customHeight="1" x14ac:dyDescent="0.25"/>
  <cols>
    <col min="1" max="1" width="12.88671875" customWidth="1"/>
    <col min="2" max="2" width="26.109375" customWidth="1"/>
    <col min="6" max="6" width="16.88671875" customWidth="1"/>
    <col min="8" max="8" width="16.88671875" customWidth="1"/>
  </cols>
  <sheetData>
    <row r="1" spans="1:6" ht="15" customHeight="1" x14ac:dyDescent="0.25">
      <c r="A1" s="18" t="s">
        <v>120</v>
      </c>
      <c r="B1" s="18"/>
      <c r="C1" s="18"/>
      <c r="D1" s="18"/>
    </row>
    <row r="2" spans="1:6" ht="15" customHeight="1" x14ac:dyDescent="0.25">
      <c r="A2" s="11"/>
      <c r="B2" s="29" t="s">
        <v>121</v>
      </c>
      <c r="C2" s="22"/>
      <c r="D2" s="11"/>
      <c r="F2" s="2" t="s">
        <v>122</v>
      </c>
    </row>
    <row r="3" spans="1:6" ht="15" customHeight="1" x14ac:dyDescent="0.25">
      <c r="A3" s="11"/>
      <c r="B3" s="11" t="s">
        <v>123</v>
      </c>
      <c r="C3" s="11"/>
      <c r="D3" s="11" t="s">
        <v>124</v>
      </c>
      <c r="F3" s="2"/>
    </row>
    <row r="4" spans="1:6" ht="15" customHeight="1" x14ac:dyDescent="0.25">
      <c r="A4" s="11"/>
      <c r="B4" s="11" t="s">
        <v>125</v>
      </c>
      <c r="C4" s="22">
        <v>35.700000000000003</v>
      </c>
      <c r="D4" s="11"/>
      <c r="F4" s="2" t="s">
        <v>126</v>
      </c>
    </row>
    <row r="5" spans="1:6" ht="15" customHeight="1" x14ac:dyDescent="0.25">
      <c r="A5" s="11"/>
      <c r="B5" s="11" t="s">
        <v>127</v>
      </c>
      <c r="C5" s="22">
        <v>88.4</v>
      </c>
      <c r="D5" s="11"/>
      <c r="F5" s="2"/>
    </row>
    <row r="6" spans="1:6" ht="15" customHeight="1" x14ac:dyDescent="0.25">
      <c r="A6" s="11"/>
      <c r="B6" s="11" t="s">
        <v>128</v>
      </c>
      <c r="C6" s="22">
        <v>-2.67</v>
      </c>
      <c r="D6" s="11"/>
    </row>
    <row r="7" spans="1:6" ht="15" customHeight="1" x14ac:dyDescent="0.25">
      <c r="A7" s="11"/>
      <c r="B7" s="11" t="s">
        <v>129</v>
      </c>
      <c r="C7" s="22">
        <v>4.1159999999999997</v>
      </c>
      <c r="D7" s="11" t="s">
        <v>19</v>
      </c>
    </row>
    <row r="8" spans="1:6" ht="15" customHeight="1" x14ac:dyDescent="0.25">
      <c r="A8" s="11"/>
      <c r="B8" s="11"/>
      <c r="C8" s="11"/>
      <c r="D8" s="11"/>
    </row>
    <row r="9" spans="1:6" ht="15" customHeight="1" x14ac:dyDescent="0.25">
      <c r="A9" s="11"/>
      <c r="B9" s="29" t="s">
        <v>130</v>
      </c>
      <c r="C9" s="22"/>
      <c r="D9" s="11"/>
      <c r="F9" s="2" t="s">
        <v>131</v>
      </c>
    </row>
    <row r="10" spans="1:6" ht="15" customHeight="1" x14ac:dyDescent="0.25">
      <c r="A10" s="11"/>
      <c r="B10" s="11" t="s">
        <v>123</v>
      </c>
      <c r="C10" s="11"/>
      <c r="D10" s="11" t="s">
        <v>124</v>
      </c>
      <c r="F10" s="2" t="s">
        <v>126</v>
      </c>
    </row>
    <row r="11" spans="1:6" ht="15" customHeight="1" x14ac:dyDescent="0.25">
      <c r="A11" s="11"/>
      <c r="B11" s="11" t="s">
        <v>125</v>
      </c>
      <c r="C11" s="22">
        <v>35.700000000000003</v>
      </c>
      <c r="D11" s="11"/>
    </row>
    <row r="12" spans="1:6" ht="15" customHeight="1" x14ac:dyDescent="0.25">
      <c r="A12" s="11"/>
      <c r="B12" s="11" t="s">
        <v>127</v>
      </c>
      <c r="C12" s="22">
        <v>88.4</v>
      </c>
      <c r="D12" s="11"/>
    </row>
    <row r="13" spans="1:6" ht="15" customHeight="1" x14ac:dyDescent="0.25">
      <c r="A13" s="11"/>
      <c r="B13" s="11" t="s">
        <v>128</v>
      </c>
      <c r="C13" s="22">
        <v>-2.67</v>
      </c>
      <c r="D13" s="11"/>
    </row>
    <row r="14" spans="1:6" ht="15" customHeight="1" x14ac:dyDescent="0.25">
      <c r="A14" s="11"/>
      <c r="B14" s="11" t="s">
        <v>129</v>
      </c>
      <c r="C14" s="22">
        <v>4.1159999999999997</v>
      </c>
      <c r="D14" s="11" t="s">
        <v>19</v>
      </c>
    </row>
    <row r="15" spans="1:6" ht="15" customHeight="1" x14ac:dyDescent="0.25">
      <c r="A15" s="11"/>
      <c r="B15" s="11"/>
      <c r="C15" s="11"/>
      <c r="D15" s="11"/>
    </row>
    <row r="16" spans="1:6" ht="15" customHeight="1" x14ac:dyDescent="0.25">
      <c r="A16" s="11"/>
      <c r="B16" s="29" t="s">
        <v>132</v>
      </c>
      <c r="C16" s="22"/>
      <c r="D16" s="11"/>
      <c r="F16" s="2" t="s">
        <v>133</v>
      </c>
    </row>
    <row r="17" spans="1:6" ht="15" customHeight="1" x14ac:dyDescent="0.25">
      <c r="A17" s="11"/>
      <c r="B17" s="11" t="s">
        <v>123</v>
      </c>
      <c r="C17" s="11"/>
      <c r="D17" s="11" t="s">
        <v>124</v>
      </c>
      <c r="F17" s="2" t="s">
        <v>126</v>
      </c>
    </row>
    <row r="18" spans="1:6" ht="15" customHeight="1" x14ac:dyDescent="0.25">
      <c r="A18" s="11"/>
      <c r="B18" s="11" t="s">
        <v>125</v>
      </c>
      <c r="C18" s="22">
        <v>25.97</v>
      </c>
      <c r="D18" s="11"/>
    </row>
    <row r="19" spans="1:6" ht="15" customHeight="1" x14ac:dyDescent="0.25">
      <c r="A19" s="11"/>
      <c r="B19" s="11" t="s">
        <v>127</v>
      </c>
      <c r="C19" s="22">
        <v>87.83</v>
      </c>
      <c r="D19" s="11"/>
    </row>
    <row r="20" spans="1:6" ht="15" customHeight="1" x14ac:dyDescent="0.25">
      <c r="A20" s="11"/>
      <c r="B20" s="11" t="s">
        <v>128</v>
      </c>
      <c r="C20" s="22">
        <v>12.83</v>
      </c>
      <c r="D20" s="11"/>
    </row>
    <row r="21" spans="1:6" ht="15" customHeight="1" x14ac:dyDescent="0.25">
      <c r="A21" s="11"/>
      <c r="B21" s="11" t="s">
        <v>129</v>
      </c>
      <c r="C21" s="22">
        <v>4.55</v>
      </c>
      <c r="D21" s="11" t="s">
        <v>19</v>
      </c>
    </row>
    <row r="22" spans="1:6" ht="15" customHeight="1" x14ac:dyDescent="0.25">
      <c r="A22" s="11"/>
      <c r="B22" s="11"/>
      <c r="C22" s="11"/>
      <c r="D22" s="11"/>
    </row>
    <row r="23" spans="1:6" ht="15" customHeight="1" x14ac:dyDescent="0.25">
      <c r="A23" s="11"/>
      <c r="B23" s="29" t="s">
        <v>134</v>
      </c>
      <c r="C23" s="22"/>
      <c r="D23" s="11"/>
      <c r="F23" s="2" t="s">
        <v>133</v>
      </c>
    </row>
    <row r="24" spans="1:6" ht="15" customHeight="1" x14ac:dyDescent="0.25">
      <c r="A24" s="11"/>
      <c r="B24" s="11" t="s">
        <v>123</v>
      </c>
      <c r="C24" s="11"/>
      <c r="D24" s="11" t="s">
        <v>124</v>
      </c>
      <c r="F24" s="2" t="s">
        <v>126</v>
      </c>
    </row>
    <row r="25" spans="1:6" ht="15" customHeight="1" x14ac:dyDescent="0.25">
      <c r="A25" s="11"/>
      <c r="B25" s="11" t="s">
        <v>125</v>
      </c>
      <c r="C25" s="22">
        <v>25.97</v>
      </c>
      <c r="D25" s="11"/>
      <c r="F25" s="2"/>
    </row>
    <row r="26" spans="1:6" ht="15" customHeight="1" x14ac:dyDescent="0.25">
      <c r="A26" s="11"/>
      <c r="B26" s="11" t="s">
        <v>127</v>
      </c>
      <c r="C26" s="22">
        <v>87.83</v>
      </c>
      <c r="D26" s="11"/>
      <c r="F26" s="2"/>
    </row>
    <row r="27" spans="1:6" ht="15" customHeight="1" x14ac:dyDescent="0.25">
      <c r="A27" s="11"/>
      <c r="B27" s="11" t="s">
        <v>128</v>
      </c>
      <c r="C27" s="22">
        <v>12.83</v>
      </c>
      <c r="D27" s="11"/>
      <c r="F27" s="2"/>
    </row>
    <row r="28" spans="1:6" ht="15" customHeight="1" x14ac:dyDescent="0.25">
      <c r="A28" s="11"/>
      <c r="B28" s="11" t="s">
        <v>129</v>
      </c>
      <c r="C28" s="22">
        <v>4.55</v>
      </c>
      <c r="D28" s="11" t="s">
        <v>19</v>
      </c>
      <c r="F28" s="2"/>
    </row>
    <row r="29" spans="1:6" ht="13.2" x14ac:dyDescent="0.25">
      <c r="A29" s="11"/>
      <c r="B29" s="11"/>
      <c r="C29" s="11"/>
      <c r="D29" s="11"/>
    </row>
    <row r="30" spans="1:6" ht="13.2" x14ac:dyDescent="0.25">
      <c r="A30" s="18" t="s">
        <v>135</v>
      </c>
      <c r="B30" s="18"/>
      <c r="C30" s="18"/>
      <c r="D30" s="18"/>
    </row>
    <row r="31" spans="1:6" ht="13.2" x14ac:dyDescent="0.25">
      <c r="A31" s="11"/>
      <c r="B31" s="29" t="s">
        <v>121</v>
      </c>
      <c r="C31" s="22"/>
      <c r="D31" s="11"/>
      <c r="F31" s="2" t="s">
        <v>122</v>
      </c>
    </row>
    <row r="32" spans="1:6" ht="13.2" x14ac:dyDescent="0.25">
      <c r="A32" s="11"/>
      <c r="B32" s="11" t="s">
        <v>123</v>
      </c>
      <c r="C32" s="11"/>
      <c r="D32" s="11" t="s">
        <v>124</v>
      </c>
      <c r="F32" s="2"/>
    </row>
    <row r="33" spans="1:6" ht="13.2" x14ac:dyDescent="0.25">
      <c r="A33" s="11"/>
      <c r="B33" s="11" t="s">
        <v>125</v>
      </c>
      <c r="C33" s="22">
        <v>35.700000000000003</v>
      </c>
      <c r="D33" s="11"/>
      <c r="F33" s="2" t="s">
        <v>126</v>
      </c>
    </row>
    <row r="34" spans="1:6" ht="13.2" x14ac:dyDescent="0.25">
      <c r="A34" s="11"/>
      <c r="B34" s="11" t="s">
        <v>127</v>
      </c>
      <c r="C34" s="22">
        <v>88.4</v>
      </c>
      <c r="D34" s="11"/>
      <c r="F34" s="2"/>
    </row>
    <row r="35" spans="1:6" ht="13.2" x14ac:dyDescent="0.25">
      <c r="A35" s="11"/>
      <c r="B35" s="11" t="s">
        <v>128</v>
      </c>
      <c r="C35" s="22">
        <v>-2.67</v>
      </c>
      <c r="D35" s="11"/>
    </row>
    <row r="36" spans="1:6" ht="13.2" x14ac:dyDescent="0.25">
      <c r="A36" s="11"/>
      <c r="B36" s="11" t="s">
        <v>136</v>
      </c>
      <c r="C36" s="22">
        <v>4.1159999999999997</v>
      </c>
      <c r="D36" s="11" t="s">
        <v>19</v>
      </c>
    </row>
    <row r="37" spans="1:6" ht="13.2" x14ac:dyDescent="0.25">
      <c r="A37" s="11"/>
      <c r="B37" s="11"/>
      <c r="C37" s="11"/>
      <c r="D37" s="11"/>
    </row>
    <row r="38" spans="1:6" ht="13.2" x14ac:dyDescent="0.25">
      <c r="A38" s="11"/>
      <c r="B38" s="29" t="s">
        <v>130</v>
      </c>
      <c r="C38" s="22"/>
      <c r="D38" s="11"/>
      <c r="F38" s="2" t="s">
        <v>131</v>
      </c>
    </row>
    <row r="39" spans="1:6" ht="13.2" x14ac:dyDescent="0.25">
      <c r="A39" s="11"/>
      <c r="B39" s="11" t="s">
        <v>123</v>
      </c>
      <c r="C39" s="11"/>
      <c r="D39" s="11" t="s">
        <v>124</v>
      </c>
      <c r="F39" s="2" t="s">
        <v>126</v>
      </c>
    </row>
    <row r="40" spans="1:6" ht="13.2" x14ac:dyDescent="0.25">
      <c r="A40" s="11"/>
      <c r="B40" s="11" t="s">
        <v>125</v>
      </c>
      <c r="C40" s="22">
        <v>35.700000000000003</v>
      </c>
      <c r="D40" s="11"/>
    </row>
    <row r="41" spans="1:6" ht="13.2" x14ac:dyDescent="0.25">
      <c r="A41" s="11"/>
      <c r="B41" s="11" t="s">
        <v>127</v>
      </c>
      <c r="C41" s="22">
        <v>88.4</v>
      </c>
      <c r="D41" s="11"/>
    </row>
    <row r="42" spans="1:6" ht="13.2" x14ac:dyDescent="0.25">
      <c r="A42" s="11"/>
      <c r="B42" s="11" t="s">
        <v>128</v>
      </c>
      <c r="C42" s="22">
        <v>-2.67</v>
      </c>
      <c r="D42" s="11"/>
    </row>
    <row r="43" spans="1:6" ht="13.2" x14ac:dyDescent="0.25">
      <c r="A43" s="11"/>
      <c r="B43" s="11" t="s">
        <v>129</v>
      </c>
      <c r="C43" s="22">
        <v>4.1159999999999997</v>
      </c>
      <c r="D43" s="11" t="s">
        <v>19</v>
      </c>
    </row>
    <row r="44" spans="1:6" ht="13.2" x14ac:dyDescent="0.25">
      <c r="A44" s="18" t="s">
        <v>137</v>
      </c>
      <c r="B44" s="18"/>
      <c r="C44" s="18"/>
      <c r="D44" s="18"/>
    </row>
    <row r="45" spans="1:6" ht="13.2" x14ac:dyDescent="0.25">
      <c r="A45" s="11"/>
      <c r="B45" s="21" t="s">
        <v>138</v>
      </c>
      <c r="C45" s="32">
        <v>45000000</v>
      </c>
      <c r="D45" s="10" t="s">
        <v>139</v>
      </c>
    </row>
    <row r="46" spans="1:6" ht="13.2" x14ac:dyDescent="0.25">
      <c r="A46" s="11"/>
      <c r="B46" s="21" t="s">
        <v>140</v>
      </c>
      <c r="C46" s="33">
        <v>0.9</v>
      </c>
      <c r="D46" s="10"/>
      <c r="E46" s="2" t="s">
        <v>141</v>
      </c>
    </row>
    <row r="47" spans="1:6" ht="13.2" x14ac:dyDescent="0.25">
      <c r="A47" s="11"/>
      <c r="B47" s="21" t="s">
        <v>142</v>
      </c>
      <c r="C47" s="34">
        <v>0.08</v>
      </c>
      <c r="D47" s="10"/>
    </row>
    <row r="48" spans="1:6" ht="13.2" x14ac:dyDescent="0.25">
      <c r="A48" s="11"/>
      <c r="B48" s="21" t="s">
        <v>143</v>
      </c>
      <c r="C48" s="32">
        <f>(C49/C45)/(C47*C46)</f>
        <v>9.2592592592592588E-5</v>
      </c>
      <c r="D48" s="10" t="s">
        <v>144</v>
      </c>
      <c r="E48">
        <f>C48*60</f>
        <v>5.5555555555555549E-3</v>
      </c>
      <c r="F48" s="2" t="s">
        <v>145</v>
      </c>
    </row>
    <row r="49" spans="1:11" ht="13.2" x14ac:dyDescent="0.25">
      <c r="A49" s="11"/>
      <c r="B49" s="21" t="s">
        <v>146</v>
      </c>
      <c r="C49" s="7">
        <v>300</v>
      </c>
      <c r="D49" s="10" t="s">
        <v>147</v>
      </c>
    </row>
    <row r="50" spans="1:11" ht="15.6" x14ac:dyDescent="0.45">
      <c r="A50" s="11"/>
      <c r="B50" s="21" t="s">
        <v>148</v>
      </c>
      <c r="C50" s="35">
        <f>'Aircraft W+B'!C44/(E48*60)</f>
        <v>0</v>
      </c>
      <c r="D50" s="10" t="s">
        <v>149</v>
      </c>
      <c r="H50" s="36"/>
    </row>
    <row r="51" spans="1:11" ht="13.2" x14ac:dyDescent="0.25">
      <c r="A51" s="18" t="s">
        <v>150</v>
      </c>
      <c r="B51" s="18"/>
      <c r="C51" s="18"/>
      <c r="D51" s="18"/>
    </row>
    <row r="52" spans="1:11" ht="13.2" x14ac:dyDescent="0.25">
      <c r="A52" s="11"/>
      <c r="B52" s="21" t="s">
        <v>151</v>
      </c>
      <c r="C52" s="7">
        <v>4400</v>
      </c>
      <c r="D52" s="10" t="s">
        <v>152</v>
      </c>
    </row>
    <row r="53" spans="1:11" ht="13.2" x14ac:dyDescent="0.25">
      <c r="A53" s="11"/>
      <c r="B53" s="21" t="s">
        <v>99</v>
      </c>
      <c r="C53" s="7">
        <v>192</v>
      </c>
      <c r="D53" s="10" t="s">
        <v>100</v>
      </c>
      <c r="F53" s="2" t="s">
        <v>153</v>
      </c>
      <c r="G53" s="2" t="s">
        <v>154</v>
      </c>
      <c r="H53" s="2" t="s">
        <v>155</v>
      </c>
      <c r="J53" s="2" t="s">
        <v>156</v>
      </c>
    </row>
    <row r="54" spans="1:11" ht="13.2" x14ac:dyDescent="0.25">
      <c r="A54" s="11"/>
      <c r="B54" s="21" t="s">
        <v>157</v>
      </c>
      <c r="C54" s="7">
        <v>3.7</v>
      </c>
      <c r="D54" s="10" t="s">
        <v>158</v>
      </c>
    </row>
    <row r="55" spans="1:11" ht="13.2" x14ac:dyDescent="0.25">
      <c r="A55" s="11"/>
      <c r="B55" s="21" t="s">
        <v>159</v>
      </c>
      <c r="C55" s="7">
        <v>6</v>
      </c>
      <c r="D55" s="10"/>
      <c r="J55">
        <f>22.2*11</f>
        <v>244.2</v>
      </c>
      <c r="K55" s="2" t="s">
        <v>160</v>
      </c>
    </row>
    <row r="56" spans="1:11" ht="13.2" x14ac:dyDescent="0.25">
      <c r="A56" s="11"/>
      <c r="B56" s="21" t="s">
        <v>161</v>
      </c>
      <c r="C56" s="7">
        <v>5</v>
      </c>
      <c r="D56" s="10"/>
      <c r="J56" s="2">
        <v>1.27</v>
      </c>
      <c r="K56" s="2" t="s">
        <v>19</v>
      </c>
    </row>
    <row r="57" spans="1:11" ht="13.2" x14ac:dyDescent="0.25">
      <c r="A57" s="11"/>
      <c r="B57" s="6" t="s">
        <v>162</v>
      </c>
      <c r="C57" s="37">
        <f>C52*C56</f>
        <v>22000</v>
      </c>
      <c r="D57" s="10" t="s">
        <v>152</v>
      </c>
      <c r="J57">
        <f>J55/J56</f>
        <v>192.28346456692913</v>
      </c>
    </row>
    <row r="58" spans="1:11" ht="13.2" x14ac:dyDescent="0.25">
      <c r="A58" s="11"/>
      <c r="B58" s="6" t="s">
        <v>163</v>
      </c>
      <c r="C58" s="37">
        <f>C54*C55</f>
        <v>22.200000000000003</v>
      </c>
      <c r="D58" s="10" t="s">
        <v>158</v>
      </c>
      <c r="I58" s="2" t="s">
        <v>164</v>
      </c>
      <c r="J58">
        <f>40*22</f>
        <v>880</v>
      </c>
      <c r="K58" s="2" t="s">
        <v>165</v>
      </c>
    </row>
    <row r="59" spans="1:11" ht="13.2" x14ac:dyDescent="0.25">
      <c r="A59" s="11"/>
      <c r="B59" s="21" t="s">
        <v>166</v>
      </c>
      <c r="C59" s="38">
        <f>(C52*C56*0.001*C58)/C53</f>
        <v>2.5437500000000006</v>
      </c>
      <c r="D59" s="10" t="s">
        <v>19</v>
      </c>
      <c r="E59">
        <f>C59*2.2</f>
        <v>5.5962500000000022</v>
      </c>
      <c r="F59" s="2" t="s">
        <v>21</v>
      </c>
      <c r="G59" s="31">
        <f>3.256-C59</f>
        <v>0.71224999999999916</v>
      </c>
    </row>
    <row r="60" spans="1:11" ht="13.2" x14ac:dyDescent="0.25">
      <c r="A60" s="11"/>
      <c r="B60" s="6" t="s">
        <v>167</v>
      </c>
      <c r="C60" s="39">
        <v>0.85</v>
      </c>
      <c r="D60" s="10" t="s">
        <v>168</v>
      </c>
    </row>
    <row r="61" spans="1:11" ht="13.2" x14ac:dyDescent="0.25">
      <c r="A61" s="11"/>
      <c r="B61" s="11"/>
      <c r="C61" s="11"/>
      <c r="D61" s="11"/>
      <c r="H61" s="18" t="s">
        <v>169</v>
      </c>
      <c r="I61" s="18"/>
      <c r="J61" s="18"/>
    </row>
    <row r="62" spans="1:11" ht="13.2" x14ac:dyDescent="0.25">
      <c r="A62" s="18" t="s">
        <v>170</v>
      </c>
      <c r="B62" s="18"/>
      <c r="C62" s="18"/>
      <c r="D62" s="18"/>
      <c r="H62" s="11" t="s">
        <v>171</v>
      </c>
      <c r="I62" s="11">
        <v>4.875</v>
      </c>
      <c r="J62" s="11" t="s">
        <v>53</v>
      </c>
    </row>
    <row r="63" spans="1:11" ht="13.2" x14ac:dyDescent="0.25">
      <c r="A63" s="11"/>
      <c r="B63" s="11" t="s">
        <v>172</v>
      </c>
      <c r="C63" s="22">
        <v>0</v>
      </c>
      <c r="D63" s="11" t="s">
        <v>173</v>
      </c>
      <c r="E63" s="2" t="s">
        <v>174</v>
      </c>
      <c r="H63" s="11" t="s">
        <v>175</v>
      </c>
      <c r="I63" s="11">
        <f>I62^2</f>
        <v>23.765625</v>
      </c>
      <c r="J63" s="11" t="s">
        <v>176</v>
      </c>
    </row>
    <row r="64" spans="1:11" ht="15.6" x14ac:dyDescent="0.45">
      <c r="A64" s="11"/>
      <c r="B64" s="2" t="s">
        <v>177</v>
      </c>
      <c r="C64" s="22">
        <v>32</v>
      </c>
      <c r="D64" s="11"/>
      <c r="H64" s="11" t="s">
        <v>178</v>
      </c>
      <c r="I64" s="40">
        <f>I63*0.000645</f>
        <v>1.5328828124999999E-2</v>
      </c>
      <c r="J64" s="11" t="s">
        <v>179</v>
      </c>
    </row>
    <row r="65" spans="1:11" ht="13.2" x14ac:dyDescent="0.25">
      <c r="A65" s="11"/>
      <c r="B65" s="2" t="s">
        <v>180</v>
      </c>
      <c r="C65" s="41">
        <v>0.9</v>
      </c>
      <c r="D65" s="11" t="s">
        <v>168</v>
      </c>
      <c r="E65" s="2" t="s">
        <v>181</v>
      </c>
      <c r="H65" s="11" t="s">
        <v>182</v>
      </c>
      <c r="I65" s="11">
        <f>I63*0.000645*C64</f>
        <v>0.49052249999999997</v>
      </c>
      <c r="J65" s="11" t="s">
        <v>179</v>
      </c>
    </row>
    <row r="66" spans="1:11" ht="13.2" x14ac:dyDescent="0.25">
      <c r="A66" s="11"/>
      <c r="B66" s="29" t="s">
        <v>183</v>
      </c>
      <c r="C66" s="23">
        <f>C63*C64*C65</f>
        <v>0</v>
      </c>
      <c r="D66" s="11" t="s">
        <v>147</v>
      </c>
      <c r="H66" s="11" t="s">
        <v>184</v>
      </c>
      <c r="I66" s="42">
        <f>I64*I74</f>
        <v>3.9854953124999999</v>
      </c>
      <c r="J66" s="11"/>
      <c r="K66" s="2" t="s">
        <v>185</v>
      </c>
    </row>
    <row r="67" spans="1:11" ht="13.2" x14ac:dyDescent="0.25">
      <c r="A67" s="11"/>
      <c r="B67" s="2" t="s">
        <v>186</v>
      </c>
      <c r="C67" s="23">
        <f>C66/(2*MIN('Cruise Trends'!M4:M80))</f>
        <v>0</v>
      </c>
      <c r="D67" s="11" t="s">
        <v>109</v>
      </c>
      <c r="H67" s="11" t="s">
        <v>187</v>
      </c>
      <c r="I67" s="11">
        <f>I65*I74</f>
        <v>127.53585</v>
      </c>
      <c r="J67" s="11" t="s">
        <v>147</v>
      </c>
    </row>
    <row r="68" spans="1:11" ht="13.2" x14ac:dyDescent="0.25">
      <c r="A68" s="11"/>
      <c r="B68" s="11"/>
      <c r="C68" s="11"/>
      <c r="D68" s="11"/>
      <c r="H68" s="11" t="s">
        <v>188</v>
      </c>
      <c r="I68" s="11">
        <f>I67/1500</f>
        <v>8.5023899999999999E-2</v>
      </c>
      <c r="J68" s="11" t="s">
        <v>19</v>
      </c>
    </row>
    <row r="69" spans="1:11" ht="13.2" x14ac:dyDescent="0.25">
      <c r="A69" s="18" t="s">
        <v>189</v>
      </c>
      <c r="B69" s="18"/>
      <c r="C69" s="18"/>
      <c r="D69" s="18"/>
      <c r="H69" s="11"/>
      <c r="I69" s="11"/>
      <c r="J69" s="11"/>
    </row>
    <row r="70" spans="1:11" ht="13.2" x14ac:dyDescent="0.25">
      <c r="A70" s="11"/>
      <c r="B70" s="11" t="s">
        <v>190</v>
      </c>
      <c r="C70" s="22"/>
      <c r="D70" s="11" t="s">
        <v>191</v>
      </c>
      <c r="H70" s="11" t="s">
        <v>192</v>
      </c>
      <c r="I70" s="11">
        <f>C63/I65</f>
        <v>0</v>
      </c>
      <c r="J70" s="11" t="s">
        <v>193</v>
      </c>
    </row>
    <row r="71" spans="1:11" ht="13.2" x14ac:dyDescent="0.25">
      <c r="A71" s="11"/>
      <c r="B71" s="11" t="s">
        <v>194</v>
      </c>
      <c r="C71" s="22"/>
      <c r="D71" s="11"/>
      <c r="G71" s="2" t="s">
        <v>195</v>
      </c>
      <c r="H71" s="11"/>
      <c r="I71" s="11"/>
      <c r="J71" s="11"/>
    </row>
    <row r="72" spans="1:11" ht="13.2" x14ac:dyDescent="0.25">
      <c r="A72" s="11"/>
      <c r="B72" s="11" t="s">
        <v>196</v>
      </c>
      <c r="C72" s="22"/>
      <c r="D72" s="11" t="s">
        <v>147</v>
      </c>
      <c r="H72" s="11" t="s">
        <v>197</v>
      </c>
      <c r="I72" s="11" t="s">
        <v>198</v>
      </c>
      <c r="J72" s="11" t="s">
        <v>193</v>
      </c>
    </row>
    <row r="73" spans="1:11" ht="13.2" x14ac:dyDescent="0.25">
      <c r="A73" s="11"/>
      <c r="B73" s="11" t="s">
        <v>199</v>
      </c>
      <c r="C73" s="22"/>
      <c r="D73" s="11" t="s">
        <v>147</v>
      </c>
      <c r="H73" s="11"/>
      <c r="I73" s="11"/>
      <c r="J73" s="11"/>
    </row>
    <row r="74" spans="1:11" ht="13.2" x14ac:dyDescent="0.25">
      <c r="A74" s="11"/>
      <c r="B74" s="11" t="s">
        <v>200</v>
      </c>
      <c r="C74" s="22"/>
      <c r="D74" s="11"/>
      <c r="H74" s="11" t="s">
        <v>201</v>
      </c>
      <c r="I74" s="11">
        <v>260</v>
      </c>
      <c r="J74" s="11" t="s">
        <v>193</v>
      </c>
    </row>
    <row r="75" spans="1:11" ht="13.2" x14ac:dyDescent="0.25">
      <c r="A75" s="11"/>
      <c r="B75" s="11" t="s">
        <v>202</v>
      </c>
      <c r="C75" s="23">
        <f>C73*C74</f>
        <v>0</v>
      </c>
      <c r="D75" s="11" t="s">
        <v>147</v>
      </c>
    </row>
    <row r="76" spans="1:11" ht="13.2" x14ac:dyDescent="0.25">
      <c r="A76" s="11"/>
      <c r="B76" s="29" t="s">
        <v>203</v>
      </c>
      <c r="C76" s="23">
        <f>C70*C71+C72+C75</f>
        <v>0</v>
      </c>
      <c r="D76" s="11" t="s">
        <v>147</v>
      </c>
    </row>
    <row r="77" spans="1:11" ht="13.2" x14ac:dyDescent="0.25">
      <c r="A77" s="11"/>
      <c r="B77" s="11"/>
      <c r="C77" s="11"/>
      <c r="D77" s="11"/>
    </row>
    <row r="78" spans="1:11" ht="13.2" x14ac:dyDescent="0.25">
      <c r="A78" s="18" t="s">
        <v>204</v>
      </c>
      <c r="B78" s="18"/>
      <c r="C78" s="18"/>
      <c r="D78" s="18"/>
    </row>
    <row r="79" spans="1:11" ht="13.2" x14ac:dyDescent="0.25">
      <c r="A79" s="11"/>
      <c r="B79" s="11" t="s">
        <v>205</v>
      </c>
      <c r="C79" s="22">
        <v>2.6</v>
      </c>
      <c r="D79" s="11" t="s">
        <v>147</v>
      </c>
    </row>
    <row r="80" spans="1:11" ht="13.2" x14ac:dyDescent="0.25">
      <c r="A80" s="11"/>
      <c r="B80" s="11" t="s">
        <v>206</v>
      </c>
      <c r="C80" s="22">
        <v>0.05</v>
      </c>
      <c r="D80" s="11" t="s">
        <v>207</v>
      </c>
    </row>
    <row r="81" spans="1:5" ht="13.2" x14ac:dyDescent="0.25">
      <c r="A81" s="11"/>
      <c r="B81" s="11" t="s">
        <v>208</v>
      </c>
      <c r="C81" s="22">
        <v>6</v>
      </c>
      <c r="D81" s="11"/>
      <c r="E81" s="2" t="s">
        <v>209</v>
      </c>
    </row>
    <row r="82" spans="1:5" ht="13.2" x14ac:dyDescent="0.25">
      <c r="A82" s="11"/>
      <c r="B82" s="11" t="s">
        <v>210</v>
      </c>
      <c r="C82" s="23">
        <f>C81*C80</f>
        <v>0.30000000000000004</v>
      </c>
      <c r="D82" s="11" t="s">
        <v>147</v>
      </c>
    </row>
    <row r="83" spans="1:5" ht="13.2" x14ac:dyDescent="0.25">
      <c r="A83" s="11"/>
      <c r="B83" s="29" t="s">
        <v>203</v>
      </c>
      <c r="C83" s="23">
        <f>C82+C79</f>
        <v>2.9000000000000004</v>
      </c>
      <c r="D83" s="11" t="s">
        <v>147</v>
      </c>
    </row>
    <row r="84" spans="1:5" ht="13.2" x14ac:dyDescent="0.25">
      <c r="A84" s="11"/>
      <c r="B84" s="11"/>
      <c r="C84" s="11"/>
      <c r="D84" s="11"/>
    </row>
    <row r="85" spans="1:5" ht="13.2" x14ac:dyDescent="0.25">
      <c r="A85" s="18" t="s">
        <v>211</v>
      </c>
      <c r="B85" s="18"/>
      <c r="C85" s="18"/>
      <c r="D85" s="18"/>
    </row>
    <row r="86" spans="1:5" ht="13.2" x14ac:dyDescent="0.25">
      <c r="A86" s="11"/>
      <c r="B86" s="11"/>
      <c r="C86" s="11"/>
      <c r="D86" s="1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8"/>
  <sheetViews>
    <sheetView workbookViewId="0"/>
  </sheetViews>
  <sheetFormatPr defaultColWidth="12.6640625" defaultRowHeight="15" customHeight="1" x14ac:dyDescent="0.25"/>
  <cols>
    <col min="1" max="1" width="25.6640625" customWidth="1"/>
  </cols>
  <sheetData>
    <row r="1" spans="1:10" ht="15" customHeight="1" x14ac:dyDescent="0.25">
      <c r="A1" s="88" t="s">
        <v>212</v>
      </c>
      <c r="B1" s="89"/>
      <c r="C1" s="89"/>
    </row>
    <row r="2" spans="1:10" ht="15" customHeight="1" x14ac:dyDescent="0.25">
      <c r="A2" s="21" t="s">
        <v>212</v>
      </c>
      <c r="B2" s="43">
        <v>0</v>
      </c>
      <c r="C2" s="21" t="s">
        <v>109</v>
      </c>
      <c r="D2" s="44" t="s">
        <v>213</v>
      </c>
      <c r="J2" s="2">
        <v>0.01</v>
      </c>
    </row>
    <row r="3" spans="1:10" ht="15" customHeight="1" x14ac:dyDescent="0.25">
      <c r="A3" s="21"/>
      <c r="B3" s="45"/>
      <c r="C3" s="21"/>
    </row>
    <row r="4" spans="1:10" ht="15" customHeight="1" x14ac:dyDescent="0.25">
      <c r="A4" s="90" t="s">
        <v>214</v>
      </c>
      <c r="B4" s="86"/>
      <c r="C4" s="87"/>
    </row>
    <row r="5" spans="1:10" ht="15" customHeight="1" x14ac:dyDescent="0.25">
      <c r="A5" s="21" t="s">
        <v>215</v>
      </c>
      <c r="B5" s="46">
        <v>1.6E-2</v>
      </c>
      <c r="C5" s="21" t="s">
        <v>109</v>
      </c>
      <c r="D5" s="2" t="s">
        <v>216</v>
      </c>
    </row>
    <row r="6" spans="1:10" ht="15" customHeight="1" x14ac:dyDescent="0.25">
      <c r="A6" s="21" t="s">
        <v>217</v>
      </c>
      <c r="B6" s="47">
        <v>1.25</v>
      </c>
      <c r="C6" s="21" t="s">
        <v>109</v>
      </c>
      <c r="D6" s="2" t="s">
        <v>218</v>
      </c>
    </row>
    <row r="7" spans="1:10" ht="15" customHeight="1" x14ac:dyDescent="0.25">
      <c r="A7" s="21" t="s">
        <v>219</v>
      </c>
      <c r="B7" s="48">
        <v>0.85</v>
      </c>
      <c r="C7" s="21" t="s">
        <v>168</v>
      </c>
      <c r="D7" s="2"/>
    </row>
    <row r="8" spans="1:10" ht="15" customHeight="1" x14ac:dyDescent="0.25">
      <c r="A8" s="21" t="s">
        <v>220</v>
      </c>
      <c r="B8" s="43">
        <v>11</v>
      </c>
      <c r="C8" s="21" t="s">
        <v>53</v>
      </c>
      <c r="D8" s="2">
        <f t="shared" ref="D8:D9" si="0">B8/39.37</f>
        <v>0.27940055880111764</v>
      </c>
      <c r="E8" s="2" t="s">
        <v>61</v>
      </c>
    </row>
    <row r="9" spans="1:10" ht="15" customHeight="1" x14ac:dyDescent="0.25">
      <c r="A9" s="21" t="s">
        <v>221</v>
      </c>
      <c r="B9" s="43">
        <v>9.5</v>
      </c>
      <c r="C9" s="21" t="s">
        <v>53</v>
      </c>
      <c r="D9" s="2">
        <f t="shared" si="0"/>
        <v>0.2413004826009652</v>
      </c>
      <c r="E9" s="2" t="s">
        <v>61</v>
      </c>
    </row>
    <row r="10" spans="1:10" ht="15" customHeight="1" x14ac:dyDescent="0.25">
      <c r="A10" s="21" t="s">
        <v>222</v>
      </c>
      <c r="B10" s="49">
        <f>B11/(B12)</f>
        <v>12.292682926829269</v>
      </c>
      <c r="C10" s="21" t="s">
        <v>109</v>
      </c>
    </row>
    <row r="11" spans="1:10" ht="15" customHeight="1" x14ac:dyDescent="0.25">
      <c r="A11" s="21" t="s">
        <v>223</v>
      </c>
      <c r="B11" s="43">
        <v>126</v>
      </c>
      <c r="C11" s="21" t="s">
        <v>53</v>
      </c>
      <c r="D11" s="2">
        <f>B11/39.37</f>
        <v>3.2004064008128017</v>
      </c>
      <c r="E11" s="2" t="s">
        <v>61</v>
      </c>
    </row>
    <row r="12" spans="1:10" ht="15" customHeight="1" x14ac:dyDescent="0.25">
      <c r="A12" s="21" t="s">
        <v>224</v>
      </c>
      <c r="B12" s="49">
        <f>AVERAGE(B8:B9)</f>
        <v>10.25</v>
      </c>
      <c r="C12" s="21" t="s">
        <v>109</v>
      </c>
      <c r="D12" s="2"/>
    </row>
    <row r="13" spans="1:10" ht="15" customHeight="1" x14ac:dyDescent="0.45">
      <c r="A13" s="21" t="s">
        <v>225</v>
      </c>
      <c r="B13" s="49">
        <f>B11*B12</f>
        <v>1291.5</v>
      </c>
      <c r="C13" s="21" t="s">
        <v>176</v>
      </c>
      <c r="D13" s="50">
        <f>B13/1550</f>
        <v>0.83322580645161293</v>
      </c>
      <c r="E13" s="2" t="s">
        <v>179</v>
      </c>
    </row>
    <row r="14" spans="1:10" ht="15" customHeight="1" x14ac:dyDescent="0.25">
      <c r="A14" s="21" t="s">
        <v>225</v>
      </c>
      <c r="B14" s="21">
        <f>B13/1550</f>
        <v>0.83322580645161293</v>
      </c>
      <c r="C14" s="21" t="s">
        <v>179</v>
      </c>
      <c r="D14" s="2"/>
    </row>
    <row r="15" spans="1:10" ht="15" customHeight="1" x14ac:dyDescent="0.25">
      <c r="A15" s="21"/>
      <c r="B15" s="21"/>
      <c r="C15" s="21"/>
      <c r="D15" s="2"/>
    </row>
    <row r="16" spans="1:10" ht="15" customHeight="1" x14ac:dyDescent="0.25">
      <c r="A16" s="90" t="s">
        <v>226</v>
      </c>
      <c r="B16" s="86"/>
      <c r="C16" s="87"/>
      <c r="D16" s="2"/>
    </row>
    <row r="17" spans="1:10" ht="15" customHeight="1" x14ac:dyDescent="0.25">
      <c r="A17" s="21" t="s">
        <v>227</v>
      </c>
      <c r="B17" s="43">
        <v>0</v>
      </c>
      <c r="C17" s="21" t="s">
        <v>109</v>
      </c>
      <c r="D17" s="2" t="s">
        <v>228</v>
      </c>
      <c r="F17" s="2">
        <v>1.01</v>
      </c>
    </row>
    <row r="18" spans="1:10" ht="15" customHeight="1" x14ac:dyDescent="0.25">
      <c r="A18" s="21" t="s">
        <v>229</v>
      </c>
      <c r="B18" s="43">
        <v>0</v>
      </c>
      <c r="C18" s="21"/>
      <c r="D18" s="2"/>
    </row>
    <row r="19" spans="1:10" ht="15" customHeight="1" x14ac:dyDescent="0.25">
      <c r="A19" s="21" t="s">
        <v>230</v>
      </c>
      <c r="B19" s="43">
        <v>3</v>
      </c>
      <c r="C19" s="21" t="s">
        <v>53</v>
      </c>
      <c r="D19" s="2"/>
    </row>
    <row r="20" spans="1:10" ht="15" customHeight="1" x14ac:dyDescent="0.45">
      <c r="A20" s="21" t="s">
        <v>231</v>
      </c>
      <c r="B20" s="43">
        <v>1</v>
      </c>
      <c r="C20" s="21" t="s">
        <v>53</v>
      </c>
      <c r="D20" s="2"/>
      <c r="H20" s="2" t="s">
        <v>232</v>
      </c>
      <c r="I20" s="51">
        <f>('Aerodynamic Perf'!$B$21+'Aerodynamic Perf'!$B$29+'Aerodynamic Perf'!$B$2+'Aerodynamic Perf'!$B$28+'Aerodynamic Perf'!$B$5)</f>
        <v>1.6E-2</v>
      </c>
    </row>
    <row r="21" spans="1:10" ht="15" customHeight="1" x14ac:dyDescent="0.25">
      <c r="A21" s="21" t="s">
        <v>233</v>
      </c>
      <c r="B21" s="49">
        <f>B18*(B17*((B19*B20)/(B13)))</f>
        <v>0</v>
      </c>
      <c r="C21" s="21" t="s">
        <v>109</v>
      </c>
      <c r="D21" s="2"/>
    </row>
    <row r="22" spans="1:10" ht="15" customHeight="1" x14ac:dyDescent="0.25">
      <c r="A22" s="21"/>
      <c r="B22" s="21"/>
      <c r="C22" s="21"/>
      <c r="D22" s="2"/>
    </row>
    <row r="23" spans="1:10" ht="15" customHeight="1" x14ac:dyDescent="0.25">
      <c r="A23" s="91" t="s">
        <v>234</v>
      </c>
      <c r="B23" s="86"/>
      <c r="C23" s="87"/>
    </row>
    <row r="24" spans="1:10" ht="15" customHeight="1" x14ac:dyDescent="0.25">
      <c r="A24" s="21" t="s">
        <v>235</v>
      </c>
      <c r="B24" s="43">
        <v>1.2250000000000001</v>
      </c>
      <c r="C24" s="21" t="s">
        <v>236</v>
      </c>
    </row>
    <row r="25" spans="1:10" ht="15" customHeight="1" x14ac:dyDescent="0.25">
      <c r="A25" s="21" t="s">
        <v>235</v>
      </c>
      <c r="B25" s="23">
        <f>B24*0.00194</f>
        <v>2.3765000000000001E-3</v>
      </c>
      <c r="C25" s="11" t="s">
        <v>237</v>
      </c>
    </row>
    <row r="27" spans="1:10" ht="15" customHeight="1" x14ac:dyDescent="0.25">
      <c r="A27" s="92" t="s">
        <v>238</v>
      </c>
      <c r="B27" s="86"/>
      <c r="C27" s="87"/>
    </row>
    <row r="28" spans="1:10" ht="15" customHeight="1" x14ac:dyDescent="0.25">
      <c r="A28" s="11" t="s">
        <v>239</v>
      </c>
      <c r="B28" s="22"/>
      <c r="C28" s="11" t="s">
        <v>109</v>
      </c>
      <c r="J28" s="2">
        <v>0.01</v>
      </c>
    </row>
    <row r="33" spans="1:6" ht="13.2" x14ac:dyDescent="0.25">
      <c r="A33" s="2" t="s">
        <v>240</v>
      </c>
      <c r="B33" s="2">
        <v>1.5</v>
      </c>
    </row>
    <row r="34" spans="1:6" ht="16.2" x14ac:dyDescent="0.45">
      <c r="A34" s="52" t="s">
        <v>241</v>
      </c>
      <c r="B34" s="51">
        <f>(B2+B5)+B33^2/(PI()*B7*B10)</f>
        <v>8.4543620449240645E-2</v>
      </c>
    </row>
    <row r="43" spans="1:6" ht="13.2" x14ac:dyDescent="0.25">
      <c r="A43" s="2" t="s">
        <v>242</v>
      </c>
      <c r="B43" s="2">
        <v>54</v>
      </c>
      <c r="C43" s="2" t="s">
        <v>49</v>
      </c>
    </row>
    <row r="44" spans="1:6" ht="13.2" x14ac:dyDescent="0.25">
      <c r="A44" s="2" t="s">
        <v>243</v>
      </c>
      <c r="B44" s="2">
        <v>8.8999999999999996E-2</v>
      </c>
      <c r="C44" s="2" t="s">
        <v>49</v>
      </c>
      <c r="E44" s="2" t="s">
        <v>244</v>
      </c>
    </row>
    <row r="45" spans="1:6" ht="13.2" x14ac:dyDescent="0.25">
      <c r="A45" s="2" t="s">
        <v>245</v>
      </c>
      <c r="B45" s="2">
        <f>3.2*0.2921</f>
        <v>0.93472000000000011</v>
      </c>
      <c r="C45" s="2" t="s">
        <v>179</v>
      </c>
    </row>
    <row r="46" spans="1:6" ht="13.2" x14ac:dyDescent="0.25">
      <c r="A46" s="2" t="s">
        <v>246</v>
      </c>
      <c r="B46" s="2">
        <v>11.5</v>
      </c>
      <c r="E46" s="2"/>
      <c r="F46" s="2"/>
    </row>
    <row r="47" spans="1:6" ht="13.2" x14ac:dyDescent="0.25">
      <c r="A47" s="2" t="s">
        <v>240</v>
      </c>
      <c r="B47">
        <f t="shared" ref="B47:B48" si="1">(2*B43)/($B$24*$B$45*(B45^2))</f>
        <v>107.95507436460436</v>
      </c>
    </row>
    <row r="48" spans="1:6" ht="13.2" x14ac:dyDescent="0.25">
      <c r="A48" s="2" t="s">
        <v>247</v>
      </c>
      <c r="B48">
        <f t="shared" si="1"/>
        <v>1.1754568673960897E-3</v>
      </c>
      <c r="C48" s="2" t="s">
        <v>109</v>
      </c>
    </row>
  </sheetData>
  <mergeCells count="5">
    <mergeCell ref="A1:C1"/>
    <mergeCell ref="A4:C4"/>
    <mergeCell ref="A16:C16"/>
    <mergeCell ref="A23:C23"/>
    <mergeCell ref="A27:C2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42"/>
  <sheetViews>
    <sheetView tabSelected="1" workbookViewId="0">
      <selection activeCell="F16" sqref="F16"/>
    </sheetView>
  </sheetViews>
  <sheetFormatPr defaultColWidth="12.6640625" defaultRowHeight="15" customHeight="1" x14ac:dyDescent="0.25"/>
  <cols>
    <col min="1" max="1" width="39.21875" customWidth="1"/>
    <col min="2" max="2" width="11.44140625" customWidth="1"/>
    <col min="4" max="4" width="8.21875" customWidth="1"/>
    <col min="5" max="5" width="20.88671875" customWidth="1"/>
    <col min="6" max="6" width="18.6640625" customWidth="1"/>
    <col min="7" max="7" width="11.44140625" customWidth="1"/>
    <col min="10" max="10" width="15" customWidth="1"/>
  </cols>
  <sheetData>
    <row r="1" spans="1:8" ht="15" customHeight="1" x14ac:dyDescent="0.25">
      <c r="A1" s="85" t="s">
        <v>248</v>
      </c>
      <c r="B1" s="86"/>
      <c r="C1" s="87"/>
    </row>
    <row r="2" spans="1:8" ht="15" customHeight="1" x14ac:dyDescent="0.25">
      <c r="A2" s="21" t="s">
        <v>249</v>
      </c>
      <c r="B2" s="53">
        <f>MAX('Cruise Trends'!C4:C83)</f>
        <v>238.37618716787753</v>
      </c>
      <c r="C2" s="21" t="s">
        <v>250</v>
      </c>
      <c r="D2" s="54">
        <f>B2/60</f>
        <v>3.9729364527979589</v>
      </c>
      <c r="E2" s="2" t="s">
        <v>251</v>
      </c>
      <c r="G2">
        <f>126-23.5</f>
        <v>102.5</v>
      </c>
      <c r="H2">
        <f>G2/2</f>
        <v>51.25</v>
      </c>
    </row>
    <row r="3" spans="1:8" ht="15" customHeight="1" x14ac:dyDescent="0.25">
      <c r="A3" s="21" t="s">
        <v>252</v>
      </c>
      <c r="B3" s="53">
        <f>MAX('Cruise Trends'!D4:D83)</f>
        <v>276.682163988767</v>
      </c>
      <c r="C3" s="21" t="s">
        <v>253</v>
      </c>
      <c r="D3" s="54">
        <f>B3*0.621</f>
        <v>171.8196238370243</v>
      </c>
      <c r="E3" s="2" t="s">
        <v>254</v>
      </c>
    </row>
    <row r="4" spans="1:8" ht="15" customHeight="1" x14ac:dyDescent="0.25">
      <c r="A4" s="21" t="s">
        <v>255</v>
      </c>
      <c r="B4" s="21">
        <f>SQRT((2*'Aircraft W+B'!C60*9.81)/('Aerodynamic Perf'!B24*'Aerodynamic Perf'!B6*'Aerodynamic Perf'!B14))</f>
        <v>13.238170913644947</v>
      </c>
      <c r="C4" s="21" t="s">
        <v>256</v>
      </c>
      <c r="D4" s="54">
        <f>B4*2.237</f>
        <v>29.613788333823745</v>
      </c>
      <c r="E4" s="2" t="s">
        <v>257</v>
      </c>
    </row>
    <row r="5" spans="1:8" ht="15" customHeight="1" x14ac:dyDescent="0.25">
      <c r="A5" s="21" t="s">
        <v>258</v>
      </c>
      <c r="B5" s="21"/>
      <c r="C5" s="21" t="s">
        <v>256</v>
      </c>
      <c r="D5" s="15" t="s">
        <v>259</v>
      </c>
    </row>
    <row r="6" spans="1:8" ht="15" customHeight="1" x14ac:dyDescent="0.25">
      <c r="A6" s="11" t="s">
        <v>260</v>
      </c>
      <c r="B6" s="55">
        <f>(2*'Systems Param+Perf'!C7)/'Aircraft W+B'!C60</f>
        <v>0.72233653757562721</v>
      </c>
      <c r="C6" s="11" t="s">
        <v>109</v>
      </c>
    </row>
    <row r="7" spans="1:8" ht="15" customHeight="1" x14ac:dyDescent="0.25">
      <c r="A7" s="11" t="s">
        <v>261</v>
      </c>
      <c r="B7" s="56">
        <f>'Aircraft W+B'!C60/'Aerodynamic Perf'!B14</f>
        <v>13.677384823848238</v>
      </c>
      <c r="C7" s="11" t="s">
        <v>85</v>
      </c>
      <c r="D7" s="57">
        <f>B7*3.27</f>
        <v>44.725048373983739</v>
      </c>
      <c r="E7" s="2" t="s">
        <v>262</v>
      </c>
      <c r="F7" s="1"/>
      <c r="G7" s="1"/>
      <c r="H7" s="15"/>
    </row>
    <row r="8" spans="1:8" ht="15" customHeight="1" x14ac:dyDescent="0.25">
      <c r="H8" s="57"/>
    </row>
    <row r="12" spans="1:8" ht="15" customHeight="1" x14ac:dyDescent="0.25">
      <c r="D12" s="2"/>
      <c r="E12" s="2"/>
    </row>
    <row r="14" spans="1:8" ht="15" customHeight="1" x14ac:dyDescent="0.25">
      <c r="E14" s="2"/>
    </row>
    <row r="16" spans="1:8" ht="15" customHeight="1" x14ac:dyDescent="0.25">
      <c r="F16" s="15"/>
    </row>
    <row r="18" spans="1:7" ht="15" customHeight="1" x14ac:dyDescent="0.25">
      <c r="E18" s="2"/>
    </row>
    <row r="19" spans="1:7" ht="15" customHeight="1" x14ac:dyDescent="0.25">
      <c r="E19" s="2"/>
    </row>
    <row r="21" spans="1:7" ht="15" customHeight="1" x14ac:dyDescent="0.25">
      <c r="E21" s="2"/>
    </row>
    <row r="24" spans="1:7" ht="15" customHeight="1" x14ac:dyDescent="0.25">
      <c r="A24" s="85" t="s">
        <v>263</v>
      </c>
      <c r="B24" s="86"/>
      <c r="C24" s="87"/>
    </row>
    <row r="25" spans="1:7" ht="15" customHeight="1" x14ac:dyDescent="0.45">
      <c r="A25" s="58" t="s">
        <v>264</v>
      </c>
      <c r="B25" s="59">
        <f>('Systems Param+Perf'!$C$4*(('Aircraft W+B'!C60/4)^2)+'Systems Param+Perf'!$C$5*(('Aircraft W+B'!C60/4))+'Systems Param+Perf'!$C$6)</f>
        <v>538.97693010082821</v>
      </c>
      <c r="C25" s="60" t="s">
        <v>147</v>
      </c>
      <c r="D25" s="44" t="s">
        <v>265</v>
      </c>
    </row>
    <row r="26" spans="1:7" ht="15" customHeight="1" x14ac:dyDescent="0.45">
      <c r="A26" s="58" t="s">
        <v>266</v>
      </c>
      <c r="B26" s="59">
        <f>('Systems Param+Perf'!$C$18*(('Aircraft W+B'!C60/4)^2)+'Systems Param+Perf'!$C$19*(('Aircraft W+B'!C60/4))+'Systems Param+Perf'!$C$20)</f>
        <v>473.87162528658274</v>
      </c>
      <c r="C26" s="60" t="s">
        <v>147</v>
      </c>
    </row>
    <row r="27" spans="1:7" ht="15" customHeight="1" x14ac:dyDescent="0.25">
      <c r="A27" s="58" t="s">
        <v>267</v>
      </c>
      <c r="B27" s="61">
        <f>(2*B25)+(2*B26)</f>
        <v>2025.6971107748218</v>
      </c>
      <c r="C27" s="60" t="s">
        <v>147</v>
      </c>
      <c r="D27" s="2" t="s">
        <v>268</v>
      </c>
      <c r="G27" s="2"/>
    </row>
    <row r="28" spans="1:7" ht="15" customHeight="1" x14ac:dyDescent="0.25">
      <c r="A28" s="58" t="s">
        <v>269</v>
      </c>
      <c r="B28" s="62">
        <f>B27/'Systems Param+Perf'!C58</f>
        <v>91.247617602469433</v>
      </c>
      <c r="C28" s="60" t="s">
        <v>165</v>
      </c>
      <c r="G28" s="2"/>
    </row>
    <row r="29" spans="1:7" ht="13.2" x14ac:dyDescent="0.25">
      <c r="A29" s="58" t="s">
        <v>270</v>
      </c>
      <c r="B29" s="63">
        <f>(((('Systems Param+Perf'!$C$57/1000)*'Systems Param+Perf'!$C$60)/(((2*(B25+B26)-'Systems Param+Perf'!$C$66+'Systems Param+Perf'!$C$76+'Systems Param+Perf'!$C$83+'Systems Param+Perf'!$C$86)/'Systems Param+Perf'!$C$58)))*60)</f>
        <v>12.278633281936525</v>
      </c>
      <c r="C29" s="60" t="s">
        <v>250</v>
      </c>
      <c r="F29">
        <f>B25*2+(B26*2)</f>
        <v>2025.6971107748218</v>
      </c>
      <c r="G29" s="2" t="s">
        <v>271</v>
      </c>
    </row>
    <row r="30" spans="1:7" ht="16.2" x14ac:dyDescent="0.45">
      <c r="A30" s="21" t="s">
        <v>272</v>
      </c>
      <c r="B30" s="64">
        <f>(4*'Systems Param+Perf'!C7)/'Aircraft W+B'!C60</f>
        <v>1.4446730751512544</v>
      </c>
      <c r="C30" s="21" t="s">
        <v>109</v>
      </c>
      <c r="F30">
        <f>F29/22.2</f>
        <v>91.247617602469447</v>
      </c>
      <c r="G30" s="2" t="s">
        <v>165</v>
      </c>
    </row>
    <row r="31" spans="1:7" ht="13.2" x14ac:dyDescent="0.25">
      <c r="A31" s="65"/>
      <c r="B31" s="65"/>
      <c r="C31" s="65"/>
    </row>
    <row r="32" spans="1:7" ht="13.2" x14ac:dyDescent="0.25">
      <c r="A32" s="65"/>
      <c r="B32" s="65"/>
      <c r="C32" s="65"/>
    </row>
    <row r="33" spans="1:6" ht="13.2" x14ac:dyDescent="0.25">
      <c r="A33" s="85" t="s">
        <v>273</v>
      </c>
      <c r="B33" s="86"/>
      <c r="C33" s="87"/>
      <c r="D33" s="2" t="s">
        <v>274</v>
      </c>
    </row>
    <row r="34" spans="1:6" ht="16.2" x14ac:dyDescent="0.45">
      <c r="A34" s="58" t="s">
        <v>275</v>
      </c>
      <c r="B34" s="59">
        <f>B25</f>
        <v>538.97693010082821</v>
      </c>
      <c r="C34" s="60" t="s">
        <v>147</v>
      </c>
    </row>
    <row r="35" spans="1:6" ht="16.2" x14ac:dyDescent="0.45">
      <c r="A35" s="58" t="s">
        <v>266</v>
      </c>
      <c r="B35" s="59">
        <f>('Systems Param+Perf'!$C$18*(('Aircraft W+B'!C60/4)^2)+'Systems Param+Perf'!$C$19*(('Aircraft W+B'!C60/4))+'Systems Param+Perf'!$C$20)</f>
        <v>473.87162528658274</v>
      </c>
      <c r="C35" s="60" t="s">
        <v>147</v>
      </c>
    </row>
    <row r="36" spans="1:6" ht="13.2" x14ac:dyDescent="0.25">
      <c r="A36" s="58" t="s">
        <v>276</v>
      </c>
      <c r="B36" s="66">
        <v>2</v>
      </c>
      <c r="C36" s="60" t="s">
        <v>250</v>
      </c>
      <c r="F36" s="67"/>
    </row>
    <row r="37" spans="1:6" ht="16.2" x14ac:dyDescent="0.45">
      <c r="A37" s="58" t="s">
        <v>277</v>
      </c>
      <c r="B37" s="68">
        <f>(('Systems Param+Perf'!C57/1000)*'Systems Param+Perf'!C58*'Systems Param+Perf'!C60)*3600-(B27*(B36*60))</f>
        <v>1251420.3467070216</v>
      </c>
      <c r="C37" s="60" t="s">
        <v>278</v>
      </c>
      <c r="D37" s="15"/>
    </row>
    <row r="38" spans="1:6" ht="16.2" x14ac:dyDescent="0.45">
      <c r="A38" s="21" t="s">
        <v>279</v>
      </c>
      <c r="B38" s="69">
        <f>MAX('Post-Hover Cruise Trends'!C4:C83)</f>
        <v>199.60388917816425</v>
      </c>
      <c r="C38" s="21" t="s">
        <v>280</v>
      </c>
      <c r="D38" s="15"/>
    </row>
    <row r="39" spans="1:6" ht="16.2" x14ac:dyDescent="0.45">
      <c r="A39" s="21" t="s">
        <v>281</v>
      </c>
      <c r="B39" s="70">
        <f>MAX('Post-Hover Cruise Trends'!D4:D80)</f>
        <v>231.67933279969262</v>
      </c>
      <c r="C39" s="21" t="s">
        <v>253</v>
      </c>
    </row>
    <row r="40" spans="1:6" ht="13.2" x14ac:dyDescent="0.25">
      <c r="A40" s="65"/>
      <c r="B40" s="65"/>
      <c r="C40" s="65"/>
    </row>
    <row r="41" spans="1:6" ht="13.2" x14ac:dyDescent="0.25">
      <c r="A41" s="65"/>
      <c r="B41" s="65"/>
      <c r="C41" s="65"/>
    </row>
    <row r="42" spans="1:6" ht="13.2" x14ac:dyDescent="0.25">
      <c r="A42" s="65"/>
      <c r="B42" s="65"/>
      <c r="C42" s="65"/>
    </row>
  </sheetData>
  <mergeCells count="3">
    <mergeCell ref="A1:C1"/>
    <mergeCell ref="A24:C24"/>
    <mergeCell ref="A33:C33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D22"/>
  <sheetViews>
    <sheetView workbookViewId="0"/>
  </sheetViews>
  <sheetFormatPr defaultColWidth="12.6640625" defaultRowHeight="15" customHeight="1" x14ac:dyDescent="0.25"/>
  <cols>
    <col min="2" max="2" width="19.109375" customWidth="1"/>
  </cols>
  <sheetData>
    <row r="2" spans="2:4" ht="15" customHeight="1" x14ac:dyDescent="0.25">
      <c r="B2" s="85" t="s">
        <v>282</v>
      </c>
      <c r="C2" s="86"/>
      <c r="D2" s="87"/>
    </row>
    <row r="3" spans="2:4" ht="15" customHeight="1" x14ac:dyDescent="0.25">
      <c r="B3" s="21" t="s">
        <v>249</v>
      </c>
      <c r="C3" s="7">
        <v>59</v>
      </c>
      <c r="D3" s="10" t="s">
        <v>250</v>
      </c>
    </row>
    <row r="4" spans="2:4" ht="15" customHeight="1" x14ac:dyDescent="0.25">
      <c r="B4" s="21" t="s">
        <v>252</v>
      </c>
      <c r="C4" s="7">
        <v>1</v>
      </c>
      <c r="D4" s="10" t="s">
        <v>253</v>
      </c>
    </row>
    <row r="5" spans="2:4" ht="15" customHeight="1" x14ac:dyDescent="0.25">
      <c r="B5" s="21" t="s">
        <v>258</v>
      </c>
      <c r="C5" s="7">
        <v>3</v>
      </c>
      <c r="D5" s="10" t="s">
        <v>256</v>
      </c>
    </row>
    <row r="6" spans="2:4" ht="15" customHeight="1" x14ac:dyDescent="0.25">
      <c r="B6" s="21" t="s">
        <v>283</v>
      </c>
      <c r="C6" s="7">
        <v>10</v>
      </c>
      <c r="D6" s="10" t="s">
        <v>256</v>
      </c>
    </row>
    <row r="9" spans="2:4" ht="15" customHeight="1" x14ac:dyDescent="0.25">
      <c r="B9" s="85" t="s">
        <v>284</v>
      </c>
      <c r="C9" s="86"/>
      <c r="D9" s="87"/>
    </row>
    <row r="10" spans="2:4" ht="15" customHeight="1" x14ac:dyDescent="0.25">
      <c r="B10" s="58" t="s">
        <v>270</v>
      </c>
      <c r="C10" s="66">
        <v>15</v>
      </c>
      <c r="D10" s="60" t="s">
        <v>250</v>
      </c>
    </row>
    <row r="11" spans="2:4" ht="15" customHeight="1" x14ac:dyDescent="0.25">
      <c r="B11" s="65"/>
      <c r="C11" s="65"/>
      <c r="D11" s="65"/>
    </row>
    <row r="12" spans="2:4" ht="15" customHeight="1" x14ac:dyDescent="0.25">
      <c r="B12" s="85" t="s">
        <v>285</v>
      </c>
      <c r="C12" s="86"/>
      <c r="D12" s="87"/>
    </row>
    <row r="13" spans="2:4" ht="15" customHeight="1" x14ac:dyDescent="0.25">
      <c r="B13" s="11" t="s">
        <v>270</v>
      </c>
      <c r="C13" s="43">
        <v>8</v>
      </c>
      <c r="D13" s="11" t="s">
        <v>250</v>
      </c>
    </row>
    <row r="14" spans="2:4" ht="15" customHeight="1" x14ac:dyDescent="0.25">
      <c r="B14" s="21" t="s">
        <v>286</v>
      </c>
      <c r="C14" s="7">
        <v>59</v>
      </c>
      <c r="D14" s="10" t="s">
        <v>250</v>
      </c>
    </row>
    <row r="15" spans="2:4" ht="15" customHeight="1" x14ac:dyDescent="0.25">
      <c r="B15" s="21" t="s">
        <v>287</v>
      </c>
      <c r="C15" s="7">
        <v>1</v>
      </c>
      <c r="D15" s="10" t="s">
        <v>253</v>
      </c>
    </row>
    <row r="17" spans="2:4" ht="15" customHeight="1" x14ac:dyDescent="0.25">
      <c r="B17" s="85" t="s">
        <v>288</v>
      </c>
      <c r="C17" s="86"/>
      <c r="D17" s="87"/>
    </row>
    <row r="18" spans="2:4" ht="15" customHeight="1" x14ac:dyDescent="0.25">
      <c r="B18" s="11" t="s">
        <v>289</v>
      </c>
      <c r="C18" s="43">
        <v>1</v>
      </c>
      <c r="D18" s="11" t="s">
        <v>250</v>
      </c>
    </row>
    <row r="19" spans="2:4" ht="15" customHeight="1" x14ac:dyDescent="0.25">
      <c r="B19" s="11" t="s">
        <v>290</v>
      </c>
      <c r="C19" s="43">
        <v>10</v>
      </c>
      <c r="D19" s="11" t="s">
        <v>250</v>
      </c>
    </row>
    <row r="20" spans="2:4" ht="15" customHeight="1" x14ac:dyDescent="0.25">
      <c r="B20" s="21" t="s">
        <v>286</v>
      </c>
      <c r="C20" s="7">
        <v>59</v>
      </c>
      <c r="D20" s="10" t="s">
        <v>250</v>
      </c>
    </row>
    <row r="21" spans="2:4" ht="15" customHeight="1" x14ac:dyDescent="0.25">
      <c r="B21" s="21" t="s">
        <v>287</v>
      </c>
      <c r="C21" s="7">
        <v>1</v>
      </c>
      <c r="D21" s="10" t="s">
        <v>253</v>
      </c>
    </row>
    <row r="22" spans="2:4" ht="15" customHeight="1" x14ac:dyDescent="0.25">
      <c r="B22" s="21" t="s">
        <v>291</v>
      </c>
      <c r="C22" s="71">
        <v>1.5</v>
      </c>
      <c r="D22" s="10" t="s">
        <v>250</v>
      </c>
    </row>
  </sheetData>
  <mergeCells count="4">
    <mergeCell ref="B2:D2"/>
    <mergeCell ref="B9:D9"/>
    <mergeCell ref="B12:D12"/>
    <mergeCell ref="B17:D1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 x14ac:dyDescent="0.25"/>
  <cols>
    <col min="1" max="1" width="12.6640625" customWidth="1"/>
    <col min="2" max="2" width="16.77734375" customWidth="1"/>
    <col min="3" max="3" width="13.109375" customWidth="1"/>
    <col min="4" max="4" width="11.33203125" customWidth="1"/>
    <col min="5" max="7" width="12.6640625" customWidth="1"/>
    <col min="8" max="8" width="12.44140625" customWidth="1"/>
    <col min="9" max="9" width="11.109375" customWidth="1"/>
    <col min="12" max="12" width="21.6640625" customWidth="1"/>
    <col min="13" max="13" width="17.33203125" customWidth="1"/>
  </cols>
  <sheetData>
    <row r="1" spans="1:14" ht="15.75" customHeight="1" x14ac:dyDescent="0.25">
      <c r="A1" s="72" t="s">
        <v>292</v>
      </c>
      <c r="B1" s="72"/>
      <c r="C1" s="72" t="s">
        <v>293</v>
      </c>
      <c r="D1" s="73" t="s">
        <v>294</v>
      </c>
      <c r="F1" s="65" t="s">
        <v>295</v>
      </c>
      <c r="G1" s="65" t="s">
        <v>296</v>
      </c>
      <c r="H1" s="72" t="s">
        <v>247</v>
      </c>
      <c r="I1" s="72" t="s">
        <v>240</v>
      </c>
      <c r="J1" s="65" t="s">
        <v>297</v>
      </c>
      <c r="K1" s="72" t="s">
        <v>298</v>
      </c>
      <c r="L1" s="72" t="s">
        <v>299</v>
      </c>
      <c r="M1" s="2" t="s">
        <v>300</v>
      </c>
    </row>
    <row r="2" spans="1:14" ht="15.75" customHeight="1" x14ac:dyDescent="0.25">
      <c r="A2" t="e">
        <f>'[1]Irrelevant Example'!K12</f>
        <v>#REF!</v>
      </c>
      <c r="B2" s="65" t="s">
        <v>301</v>
      </c>
      <c r="C2" s="74"/>
      <c r="D2" s="74"/>
      <c r="H2" s="75"/>
      <c r="I2" s="75"/>
      <c r="K2" s="76"/>
      <c r="L2" s="76"/>
      <c r="M2" s="65"/>
      <c r="N2" s="65"/>
    </row>
    <row r="3" spans="1:14" ht="15.75" customHeight="1" x14ac:dyDescent="0.25">
      <c r="A3" s="77" t="e">
        <f>'[1]Irrelevant Example'!K9</f>
        <v>#REF!</v>
      </c>
      <c r="B3" s="65" t="s">
        <v>283</v>
      </c>
      <c r="C3" s="74"/>
      <c r="D3" s="74"/>
      <c r="H3" s="75"/>
      <c r="I3" s="75"/>
      <c r="K3" s="76"/>
      <c r="L3" s="76"/>
      <c r="M3" s="65"/>
    </row>
    <row r="4" spans="1:14" ht="15.75" customHeight="1" x14ac:dyDescent="0.25">
      <c r="A4" s="65">
        <v>4</v>
      </c>
      <c r="B4" s="78"/>
      <c r="C4" s="79">
        <f>((((('Aircraft W+B'!$C$44*'Systems Param+Perf'!$C$45*'Systems Param+Perf'!$C$46*'Systems Param+Perf'!$C$47)/(3600*'Systems Param+Perf'!$C$58)+('Systems Param+Perf'!$C$57/1000)*'Systems Param+Perf'!$C$60)/((((2)*M4-'Systems Param+Perf'!$C$66+'Systems Param+Perf'!$C$76+'Systems Param+Perf'!$C$83+'Systems Param+Perf'!$C$86)/'Systems Param+Perf'!$C$58)))*60))</f>
        <v>10.149031562853327</v>
      </c>
      <c r="D4" s="74">
        <f t="shared" ref="D4:D80" si="0">C4*60*A4/1000</f>
        <v>2.4357675750847982</v>
      </c>
      <c r="F4" s="2">
        <f>0.5*('Aerodynamic Perf'!$B$24*A4^2*H4*'Aerodynamic Perf'!$B$14)</f>
        <v>46.665620260787897</v>
      </c>
      <c r="G4">
        <f t="shared" ref="G4:G80" si="1">F4/9.81</f>
        <v>4.7569439613443318</v>
      </c>
      <c r="H4" s="75">
        <f>('Aerodynamic Perf'!$B$21+'Aerodynamic Perf'!$B$29+'Aerodynamic Perf'!$B$2+'Aerodynamic Perf'!$B$28+'Aerodynamic Perf'!$B$5)+I4^2/(PI()*'Aerodynamic Perf'!$B$7*'Aerodynamic Perf'!$B$10)</f>
        <v>5.7148949887586209</v>
      </c>
      <c r="I4" s="75">
        <f>('Aircraft W+B'!$C$61)/(0.5*'Aerodynamic Perf'!$B$24*A4^2*'Aerodynamic Perf'!$B$14)</f>
        <v>13.677384823848239</v>
      </c>
      <c r="J4">
        <f>I4*0.5*'Aerodynamic Perf'!$B$24*A4^2*'Aerodynamic Perf'!$B$14</f>
        <v>111.68423000000001</v>
      </c>
      <c r="K4" s="76">
        <f t="shared" ref="K4:K80" si="2">I4/H4</f>
        <v>2.3932871646376856</v>
      </c>
      <c r="L4" s="76">
        <f>M4/'Systems Param+Perf'!$C$58</f>
        <v>55.210894688142282</v>
      </c>
      <c r="M4" s="2">
        <f>('Systems Param+Perf'!$C$4*((G4)^2)+'Systems Param+Perf'!$C$5*((G4))+'Systems Param+Perf'!$C$6)</f>
        <v>1225.6818620767588</v>
      </c>
    </row>
    <row r="5" spans="1:14" ht="15.75" customHeight="1" x14ac:dyDescent="0.25">
      <c r="A5" s="65">
        <f t="shared" ref="A5:A80" si="3">A4+0.5</f>
        <v>4.5</v>
      </c>
      <c r="B5" s="78"/>
      <c r="C5" s="79">
        <f>((((('Aircraft W+B'!$C$44*'Systems Param+Perf'!$C$45*'Systems Param+Perf'!$C$46*'Systems Param+Perf'!$C$47)/(3600*'Systems Param+Perf'!$C$58)+('Systems Param+Perf'!$C$57/1000)*'Systems Param+Perf'!$C$60)/((((2)*M5-'Systems Param+Perf'!$C$66+'Systems Param+Perf'!$C$76+'Systems Param+Perf'!$C$83+'Systems Param+Perf'!$C$86)/'Systems Param+Perf'!$C$58)))*60))</f>
        <v>14.868416560745905</v>
      </c>
      <c r="D5" s="74">
        <f t="shared" si="0"/>
        <v>4.014472471401394</v>
      </c>
      <c r="F5" s="2">
        <f>0.5*('Aerodynamic Perf'!$B$24*A5^2*H5*'Aerodynamic Perf'!$B$14)</f>
        <v>36.933725378296764</v>
      </c>
      <c r="G5">
        <f t="shared" si="1"/>
        <v>3.7649057470231155</v>
      </c>
      <c r="H5" s="75">
        <f>('Aerodynamic Perf'!$B$21+'Aerodynamic Perf'!$B$29+'Aerodynamic Perf'!$B$2+'Aerodynamic Perf'!$B$28+'Aerodynamic Perf'!$B$5)+I5^2/(PI()*'Aerodynamic Perf'!$B$7*'Aerodynamic Perf'!$B$10)</f>
        <v>3.573792085650862</v>
      </c>
      <c r="I5" s="75">
        <f>('Aircraft W+B'!$C$61)/(0.5*'Aerodynamic Perf'!$B$24*A5^2*'Aerodynamic Perf'!$B$14)</f>
        <v>10.806822576867743</v>
      </c>
      <c r="J5">
        <f>I5*0.5*'Aerodynamic Perf'!$B$24*A5^2*'Aerodynamic Perf'!$B$14</f>
        <v>111.68423</v>
      </c>
      <c r="K5" s="76">
        <f t="shared" si="2"/>
        <v>3.0239091468858059</v>
      </c>
      <c r="L5" s="76">
        <f>M5/'Systems Param+Perf'!$C$58</f>
        <v>37.665669534886931</v>
      </c>
      <c r="M5" s="2">
        <f>('Systems Param+Perf'!$C$4*((G5)^2)+'Systems Param+Perf'!$C$5*((G5))+'Systems Param+Perf'!$C$6)</f>
        <v>836.17786367448991</v>
      </c>
    </row>
    <row r="6" spans="1:14" ht="15.75" customHeight="1" x14ac:dyDescent="0.25">
      <c r="A6" s="65">
        <f t="shared" si="3"/>
        <v>5</v>
      </c>
      <c r="B6" s="78"/>
      <c r="C6" s="79">
        <f>((((('Aircraft W+B'!$C$44*'Systems Param+Perf'!$C$45*'Systems Param+Perf'!$C$46*'Systems Param+Perf'!$C$47)/(3600*'Systems Param+Perf'!$C$58)+('Systems Param+Perf'!$C$57/1000)*'Systems Param+Perf'!$C$60)/((((2)*M6-'Systems Param+Perf'!$C$66+'Systems Param+Perf'!$C$76+'Systems Param+Perf'!$C$83+'Systems Param+Perf'!$C$86)/'Systems Param+Perf'!$C$58)))*60))</f>
        <v>20.668765227266523</v>
      </c>
      <c r="D6" s="74">
        <f t="shared" si="0"/>
        <v>6.2006295681799566</v>
      </c>
      <c r="F6" s="2">
        <f>0.5*('Aerodynamic Perf'!$B$24*A6^2*H6*'Aerodynamic Perf'!$B$14)</f>
        <v>29.98652141335586</v>
      </c>
      <c r="G6">
        <f t="shared" si="1"/>
        <v>3.0567300115551332</v>
      </c>
      <c r="H6" s="75">
        <f>('Aerodynamic Perf'!$B$21+'Aerodynamic Perf'!$B$29+'Aerodynamic Perf'!$B$2+'Aerodynamic Perf'!$B$28+'Aerodynamic Perf'!$B$5)+I6^2/(PI()*'Aerodynamic Perf'!$B$7*'Aerodynamic Perf'!$B$10)</f>
        <v>2.3502673873955304</v>
      </c>
      <c r="I6" s="75">
        <f>('Aircraft W+B'!$C$61)/(0.5*'Aerodynamic Perf'!$B$24*A6^2*'Aerodynamic Perf'!$B$14)</f>
        <v>8.7535262872628721</v>
      </c>
      <c r="J6">
        <f>I6*0.5*'Aerodynamic Perf'!$B$24*A6^2*'Aerodynamic Perf'!$B$14</f>
        <v>111.68423000000001</v>
      </c>
      <c r="K6" s="76">
        <f t="shared" si="2"/>
        <v>3.7244810246731839</v>
      </c>
      <c r="L6" s="76">
        <f>M6/'Systems Param+Perf'!$C$58</f>
        <v>27.077089846843137</v>
      </c>
      <c r="M6" s="2">
        <f>('Systems Param+Perf'!$C$4*((G6)^2)+'Systems Param+Perf'!$C$5*((G6))+'Systems Param+Perf'!$C$6)</f>
        <v>601.11139459991773</v>
      </c>
    </row>
    <row r="7" spans="1:14" ht="15.75" customHeight="1" x14ac:dyDescent="0.25">
      <c r="A7" s="65">
        <f t="shared" si="3"/>
        <v>5.5</v>
      </c>
      <c r="B7" s="78"/>
      <c r="C7" s="79">
        <f>((((('Aircraft W+B'!$C$44*'Systems Param+Perf'!$C$45*'Systems Param+Perf'!$C$46*'Systems Param+Perf'!$C$47)/(3600*'Systems Param+Perf'!$C$58)+('Systems Param+Perf'!$C$57/1000)*'Systems Param+Perf'!$C$60)/((((2)*M7-'Systems Param+Perf'!$C$66+'Systems Param+Perf'!$C$76+'Systems Param+Perf'!$C$83+'Systems Param+Perf'!$C$86)/'Systems Param+Perf'!$C$58)))*60))</f>
        <v>27.548907957183641</v>
      </c>
      <c r="D7" s="74">
        <f t="shared" si="0"/>
        <v>9.0911396258706016</v>
      </c>
      <c r="F7" s="2">
        <f>0.5*('Aerodynamic Perf'!$B$24*A7^2*H7*'Aerodynamic Perf'!$B$14)</f>
        <v>24.860547881872346</v>
      </c>
      <c r="G7">
        <f t="shared" si="1"/>
        <v>2.5342046770512074</v>
      </c>
      <c r="H7" s="75">
        <f>('Aerodynamic Perf'!$B$21+'Aerodynamic Perf'!$B$29+'Aerodynamic Perf'!$B$2+'Aerodynamic Perf'!$B$28+'Aerodynamic Perf'!$B$5)+I7^2/(PI()*'Aerodynamic Perf'!$B$7*'Aerodynamic Perf'!$B$10)</f>
        <v>1.6103360340110173</v>
      </c>
      <c r="I7" s="75">
        <f>('Aircraft W+B'!$C$61)/(0.5*'Aerodynamic Perf'!$B$24*A7^2*'Aerodynamic Perf'!$B$14)</f>
        <v>7.2343192456717951</v>
      </c>
      <c r="J7">
        <f>I7*0.5*'Aerodynamic Perf'!$B$24*A7^2*'Aerodynamic Perf'!$B$14</f>
        <v>111.68423</v>
      </c>
      <c r="K7" s="76">
        <f t="shared" si="2"/>
        <v>4.4924283459350951</v>
      </c>
      <c r="L7" s="76">
        <f>M7/'Systems Param+Perf'!$C$58</f>
        <v>20.298468282637206</v>
      </c>
      <c r="M7" s="2">
        <f>('Systems Param+Perf'!$C$4*((G7)^2)+'Systems Param+Perf'!$C$5*((G7))+'Systems Param+Perf'!$C$6)</f>
        <v>450.62599587454605</v>
      </c>
    </row>
    <row r="8" spans="1:14" ht="15.75" customHeight="1" x14ac:dyDescent="0.25">
      <c r="A8" s="65">
        <f t="shared" si="3"/>
        <v>6</v>
      </c>
      <c r="B8" s="78"/>
      <c r="C8" s="79">
        <f>((((('Aircraft W+B'!$C$44*'Systems Param+Perf'!$C$45*'Systems Param+Perf'!$C$46*'Systems Param+Perf'!$C$47)/(3600*'Systems Param+Perf'!$C$58)+('Systems Param+Perf'!$C$57/1000)*'Systems Param+Perf'!$C$60)/((((2)*M8-'Systems Param+Perf'!$C$66+'Systems Param+Perf'!$C$76+'Systems Param+Perf'!$C$83+'Systems Param+Perf'!$C$86)/'Systems Param+Perf'!$C$58)))*60))</f>
        <v>35.479602194040027</v>
      </c>
      <c r="D8" s="74">
        <f t="shared" si="0"/>
        <v>12.772656789854409</v>
      </c>
      <c r="F8" s="2">
        <f>0.5*('Aerodynamic Perf'!$B$24*A8^2*H8*'Aerodynamic Perf'!$B$14)</f>
        <v>20.976171155332253</v>
      </c>
      <c r="G8">
        <f t="shared" si="1"/>
        <v>2.1382437467209225</v>
      </c>
      <c r="H8" s="75">
        <f>('Aerodynamic Perf'!$B$21+'Aerodynamic Perf'!$B$29+'Aerodynamic Perf'!$B$2+'Aerodynamic Perf'!$B$28+'Aerodynamic Perf'!$B$5)+I8^2/(PI()*'Aerodynamic Perf'!$B$7*'Aerodynamic Perf'!$B$10)</f>
        <v>1.1417076521004683</v>
      </c>
      <c r="I8" s="75">
        <f>('Aircraft W+B'!$C$61)/(0.5*'Aerodynamic Perf'!$B$24*A8^2*'Aerodynamic Perf'!$B$14)</f>
        <v>6.0788376994881066</v>
      </c>
      <c r="J8">
        <f>I8*0.5*'Aerodynamic Perf'!$B$24*A8^2*'Aerodynamic Perf'!$B$14</f>
        <v>111.68423000000001</v>
      </c>
      <c r="K8" s="76">
        <f t="shared" si="2"/>
        <v>5.3243382299352229</v>
      </c>
      <c r="L8" s="76">
        <f>M8/'Systems Param+Perf'!$C$58</f>
        <v>15.746586885049226</v>
      </c>
      <c r="M8" s="2">
        <f>('Systems Param+Perf'!$C$4*((G8)^2)+'Systems Param+Perf'!$C$5*((G8))+'Systems Param+Perf'!$C$6)</f>
        <v>349.57422884809284</v>
      </c>
    </row>
    <row r="9" spans="1:14" ht="15.75" customHeight="1" x14ac:dyDescent="0.25">
      <c r="A9" s="65">
        <f t="shared" si="3"/>
        <v>6.5</v>
      </c>
      <c r="B9" s="78"/>
      <c r="C9" s="79">
        <f>((((('Aircraft W+B'!$C$44*'Systems Param+Perf'!$C$45*'Systems Param+Perf'!$C$46*'Systems Param+Perf'!$C$47)/(3600*'Systems Param+Perf'!$C$58)+('Systems Param+Perf'!$C$57/1000)*'Systems Param+Perf'!$C$60)/((((2)*M9-'Systems Param+Perf'!$C$66+'Systems Param+Perf'!$C$76+'Systems Param+Perf'!$C$83+'Systems Param+Perf'!$C$86)/'Systems Param+Perf'!$C$58)))*60))</f>
        <v>44.407617729551603</v>
      </c>
      <c r="D9" s="74">
        <f t="shared" si="0"/>
        <v>17.318970914525124</v>
      </c>
      <c r="F9" s="2">
        <f>0.5*('Aerodynamic Perf'!$B$24*A9^2*H9*'Aerodynamic Perf'!$B$14)</f>
        <v>17.967707849762014</v>
      </c>
      <c r="G9">
        <f t="shared" si="1"/>
        <v>1.8315706268870553</v>
      </c>
      <c r="H9" s="75">
        <f>('Aerodynamic Perf'!$B$21+'Aerodynamic Perf'!$B$29+'Aerodynamic Perf'!$B$2+'Aerodynamic Perf'!$B$28+'Aerodynamic Perf'!$B$5)+I9^2/(PI()*'Aerodynamic Perf'!$B$7*'Aerodynamic Perf'!$B$10)</f>
        <v>0.83329189713088869</v>
      </c>
      <c r="I9" s="75">
        <f>('Aircraft W+B'!$C$61)/(0.5*'Aerodynamic Perf'!$B$24*A9^2*'Aerodynamic Perf'!$B$14)</f>
        <v>5.1796013534099838</v>
      </c>
      <c r="J9">
        <f>I9*0.5*'Aerodynamic Perf'!$B$24*A9^2*'Aerodynamic Perf'!$B$14</f>
        <v>111.68423000000001</v>
      </c>
      <c r="K9" s="76">
        <f t="shared" si="2"/>
        <v>6.2158306965949075</v>
      </c>
      <c r="L9" s="76">
        <f>M9/'Systems Param+Perf'!$C$58</f>
        <v>12.567652375421122</v>
      </c>
      <c r="M9" s="2">
        <f>('Systems Param+Perf'!$C$4*((G9)^2)+'Systems Param+Perf'!$C$5*((G9))+'Systems Param+Perf'!$C$6)</f>
        <v>279.00188273434895</v>
      </c>
    </row>
    <row r="10" spans="1:14" ht="15.75" customHeight="1" x14ac:dyDescent="0.25">
      <c r="A10" s="65">
        <f t="shared" si="3"/>
        <v>7</v>
      </c>
      <c r="B10" s="78"/>
      <c r="C10" s="79">
        <f>((((('Aircraft W+B'!$C$44*'Systems Param+Perf'!$C$45*'Systems Param+Perf'!$C$46*'Systems Param+Perf'!$C$47)/(3600*'Systems Param+Perf'!$C$58)+('Systems Param+Perf'!$C$57/1000)*'Systems Param+Perf'!$C$60)/((((2)*M10-'Systems Param+Perf'!$C$66+'Systems Param+Perf'!$C$76+'Systems Param+Perf'!$C$83+'Systems Param+Perf'!$C$86)/'Systems Param+Perf'!$C$58)))*60))</f>
        <v>54.258687549435194</v>
      </c>
      <c r="D10" s="74">
        <f t="shared" si="0"/>
        <v>22.788648770762784</v>
      </c>
      <c r="F10" s="2">
        <f>0.5*('Aerodynamic Perf'!$B$24*A10^2*H10*'Aerodynamic Perf'!$B$14)</f>
        <v>15.595207425510731</v>
      </c>
      <c r="G10">
        <f t="shared" si="1"/>
        <v>1.589725527574998</v>
      </c>
      <c r="H10" s="75">
        <f>('Aerodynamic Perf'!$B$21+'Aerodynamic Perf'!$B$29+'Aerodynamic Perf'!$B$2+'Aerodynamic Perf'!$B$28+'Aerodynamic Perf'!$B$5)+I10^2/(PI()*'Aerodynamic Perf'!$B$7*'Aerodynamic Perf'!$B$10)</f>
        <v>0.62362895340366808</v>
      </c>
      <c r="I10" s="75">
        <f>('Aircraft W+B'!$C$61)/(0.5*'Aerodynamic Perf'!$B$24*A10^2*'Aerodynamic Perf'!$B$14)</f>
        <v>4.4660848404402413</v>
      </c>
      <c r="J10">
        <f>I10*0.5*'Aerodynamic Perf'!$B$24*A10^2*'Aerodynamic Perf'!$B$14</f>
        <v>111.68423000000001</v>
      </c>
      <c r="K10" s="76">
        <f t="shared" si="2"/>
        <v>7.161445625744375</v>
      </c>
      <c r="L10" s="76">
        <f>M10/'Systems Param+Perf'!$C$58</f>
        <v>10.274042773449214</v>
      </c>
      <c r="M10" s="2">
        <f>('Systems Param+Perf'!$C$4*((G10)^2)+'Systems Param+Perf'!$C$5*((G10))+'Systems Param+Perf'!$C$6)</f>
        <v>228.08374957057256</v>
      </c>
    </row>
    <row r="11" spans="1:14" ht="15.75" customHeight="1" x14ac:dyDescent="0.25">
      <c r="A11" s="65">
        <f t="shared" si="3"/>
        <v>7.5</v>
      </c>
      <c r="B11" s="78"/>
      <c r="C11" s="79">
        <f>((((('Aircraft W+B'!$C$44*'Systems Param+Perf'!$C$45*'Systems Param+Perf'!$C$46*'Systems Param+Perf'!$C$47)/(3600*'Systems Param+Perf'!$C$58)+('Systems Param+Perf'!$C$57/1000)*'Systems Param+Perf'!$C$60)/((((2)*M11-'Systems Param+Perf'!$C$66+'Systems Param+Perf'!$C$76+'Systems Param+Perf'!$C$83+'Systems Param+Perf'!$C$86)/'Systems Param+Perf'!$C$58)))*60))</f>
        <v>64.939509299126868</v>
      </c>
      <c r="D11" s="74">
        <f t="shared" si="0"/>
        <v>29.222779184607091</v>
      </c>
      <c r="F11" s="2">
        <f>0.5*('Aerodynamic Perf'!$B$24*A11^2*H11*'Aerodynamic Perf'!$B$14)</f>
        <v>13.695929543928774</v>
      </c>
      <c r="G11">
        <f t="shared" si="1"/>
        <v>1.3961192195646048</v>
      </c>
      <c r="H11" s="75">
        <f>('Aerodynamic Perf'!$B$21+'Aerodynamic Perf'!$B$29+'Aerodynamic Perf'!$B$2+'Aerodynamic Perf'!$B$28+'Aerodynamic Perf'!$B$5)+I11^2/(PI()*'Aerodynamic Perf'!$B$7*'Aerodynamic Perf'!$B$10)</f>
        <v>0.47708985430035183</v>
      </c>
      <c r="I11" s="75">
        <f>('Aircraft W+B'!$C$61)/(0.5*'Aerodynamic Perf'!$B$24*A11^2*'Aerodynamic Perf'!$B$14)</f>
        <v>3.8904561276723881</v>
      </c>
      <c r="J11">
        <f>I11*0.5*'Aerodynamic Perf'!$B$24*A11^2*'Aerodynamic Perf'!$B$14</f>
        <v>111.68423000000001</v>
      </c>
      <c r="K11" s="76">
        <f t="shared" si="2"/>
        <v>8.1545564061044828</v>
      </c>
      <c r="L11" s="76">
        <f>M11/'Systems Param+Perf'!$C$58</f>
        <v>8.5734934169142463</v>
      </c>
      <c r="M11" s="2">
        <f>('Systems Param+Perf'!$C$4*((G11)^2)+'Systems Param+Perf'!$C$5*((G11))+'Systems Param+Perf'!$C$6)</f>
        <v>190.33155385549631</v>
      </c>
    </row>
    <row r="12" spans="1:14" ht="15.75" customHeight="1" x14ac:dyDescent="0.25">
      <c r="A12" s="65">
        <f t="shared" si="3"/>
        <v>8</v>
      </c>
      <c r="B12" s="78"/>
      <c r="C12" s="79">
        <f>((((('Aircraft W+B'!$C$44*'Systems Param+Perf'!$C$45*'Systems Param+Perf'!$C$46*'Systems Param+Perf'!$C$47)/(3600*'Systems Param+Perf'!$C$58)+('Systems Param+Perf'!$C$57/1000)*'Systems Param+Perf'!$C$60)/((((2)*M12-'Systems Param+Perf'!$C$66+'Systems Param+Perf'!$C$76+'Systems Param+Perf'!$C$83+'Systems Param+Perf'!$C$86)/'Systems Param+Perf'!$C$58)))*60))</f>
        <v>76.339160342924487</v>
      </c>
      <c r="D12" s="74">
        <f t="shared" si="0"/>
        <v>36.642796964603754</v>
      </c>
      <c r="F12" s="2">
        <f>0.5*('Aerodynamic Perf'!$B$24*A12^2*H12*'Aerodynamic Perf'!$B$14)</f>
        <v>12.156341839390524</v>
      </c>
      <c r="G12">
        <f t="shared" si="1"/>
        <v>1.2391785769001553</v>
      </c>
      <c r="H12" s="75">
        <f>('Aerodynamic Perf'!$B$21+'Aerodynamic Perf'!$B$29+'Aerodynamic Perf'!$B$2+'Aerodynamic Perf'!$B$28+'Aerodynamic Perf'!$B$5)+I12^2/(PI()*'Aerodynamic Perf'!$B$7*'Aerodynamic Perf'!$B$10)</f>
        <v>0.37218093679741382</v>
      </c>
      <c r="I12" s="75">
        <f>('Aircraft W+B'!$C$61)/(0.5*'Aerodynamic Perf'!$B$24*A12^2*'Aerodynamic Perf'!$B$14)</f>
        <v>3.4193462059620598</v>
      </c>
      <c r="J12">
        <f>I12*0.5*'Aerodynamic Perf'!$B$24*A12^2*'Aerodynamic Perf'!$B$14</f>
        <v>111.68423000000001</v>
      </c>
      <c r="K12" s="76">
        <f t="shared" si="2"/>
        <v>9.1873222615463632</v>
      </c>
      <c r="L12" s="76">
        <f>M12/'Systems Param+Perf'!$C$58</f>
        <v>7.2834686833548572</v>
      </c>
      <c r="M12" s="2">
        <f>('Systems Param+Perf'!$C$4*((G12)^2)+'Systems Param+Perf'!$C$5*((G12))+'Systems Param+Perf'!$C$6)</f>
        <v>161.69300477047784</v>
      </c>
    </row>
    <row r="13" spans="1:14" ht="15.75" customHeight="1" x14ac:dyDescent="0.25">
      <c r="A13" s="65">
        <f t="shared" si="3"/>
        <v>8.5</v>
      </c>
      <c r="B13" s="78"/>
      <c r="C13" s="79">
        <f>((((('Aircraft W+B'!$C$44*'Systems Param+Perf'!$C$45*'Systems Param+Perf'!$C$46*'Systems Param+Perf'!$C$47)/(3600*'Systems Param+Perf'!$C$58)+('Systems Param+Perf'!$C$57/1000)*'Systems Param+Perf'!$C$60)/((((2)*M13-'Systems Param+Perf'!$C$66+'Systems Param+Perf'!$C$76+'Systems Param+Perf'!$C$83+'Systems Param+Perf'!$C$86)/'Systems Param+Perf'!$C$58)))*60))</f>
        <v>88.330332761115727</v>
      </c>
      <c r="D13" s="74">
        <f t="shared" si="0"/>
        <v>45.048469708169023</v>
      </c>
      <c r="F13" s="2">
        <f>0.5*('Aerodynamic Perf'!$B$24*A13^2*H13*'Aerodynamic Perf'!$B$14)</f>
        <v>10.895287708996893</v>
      </c>
      <c r="G13">
        <f t="shared" si="1"/>
        <v>1.1106307552494283</v>
      </c>
      <c r="H13" s="75">
        <f>('Aerodynamic Perf'!$B$21+'Aerodynamic Perf'!$B$29+'Aerodynamic Perf'!$B$2+'Aerodynamic Perf'!$B$28+'Aerodynamic Perf'!$B$5)+I13^2/(PI()*'Aerodynamic Perf'!$B$7*'Aerodynamic Perf'!$B$10)</f>
        <v>0.29548269146628159</v>
      </c>
      <c r="I13" s="75">
        <f>('Aircraft W+B'!$C$61)/(0.5*'Aerodynamic Perf'!$B$24*A13^2*'Aerodynamic Perf'!$B$14)</f>
        <v>3.0289018295027237</v>
      </c>
      <c r="J13">
        <f>I13*0.5*'Aerodynamic Perf'!$B$24*A13^2*'Aerodynamic Perf'!$B$14</f>
        <v>111.68423</v>
      </c>
      <c r="K13" s="76">
        <f t="shared" si="2"/>
        <v>10.250691214677666</v>
      </c>
      <c r="L13" s="76">
        <f>M13/'Systems Param+Perf'!$C$58</f>
        <v>6.2858438217977763</v>
      </c>
      <c r="M13" s="2">
        <f>('Systems Param+Perf'!$C$4*((G13)^2)+'Systems Param+Perf'!$C$5*((G13))+'Systems Param+Perf'!$C$6)</f>
        <v>139.54573284391066</v>
      </c>
    </row>
    <row r="14" spans="1:14" ht="15.75" customHeight="1" x14ac:dyDescent="0.25">
      <c r="A14" s="65">
        <f t="shared" si="3"/>
        <v>9</v>
      </c>
      <c r="C14" s="79">
        <f>((((('Aircraft W+B'!$C$44*'Systems Param+Perf'!$C$45*'Systems Param+Perf'!$C$46*'Systems Param+Perf'!$C$47)/(3600*'Systems Param+Perf'!$C$58)+('Systems Param+Perf'!$C$57/1000)*'Systems Param+Perf'!$C$60)/((((2)*M14-'Systems Param+Perf'!$C$66+'Systems Param+Perf'!$C$76+'Systems Param+Perf'!$C$83+'Systems Param+Perf'!$C$86)/'Systems Param+Perf'!$C$58)))*60))</f>
        <v>100.77076270337814</v>
      </c>
      <c r="D14" s="74">
        <f t="shared" si="0"/>
        <v>54.416211859824195</v>
      </c>
      <c r="F14" s="2">
        <f>0.5*('Aerodynamic Perf'!$B$24*A14^2*H14*'Aerodynamic Perf'!$B$14)</f>
        <v>9.8535075744128999</v>
      </c>
      <c r="G14">
        <f t="shared" si="1"/>
        <v>1.0044350228759327</v>
      </c>
      <c r="H14" s="75">
        <f>('Aerodynamic Perf'!$B$21+'Aerodynamic Perf'!$B$29+'Aerodynamic Perf'!$B$2+'Aerodynamic Perf'!$B$28+'Aerodynamic Perf'!$B$5)+I14^2/(PI()*'Aerodynamic Perf'!$B$7*'Aerodynamic Perf'!$B$10)</f>
        <v>0.23836200535317886</v>
      </c>
      <c r="I14" s="75">
        <f>('Aircraft W+B'!$C$61)/(0.5*'Aerodynamic Perf'!$B$24*A14^2*'Aerodynamic Perf'!$B$14)</f>
        <v>2.7017056442169358</v>
      </c>
      <c r="J14">
        <f>I14*0.5*'Aerodynamic Perf'!$B$24*A14^2*'Aerodynamic Perf'!$B$14</f>
        <v>111.68423</v>
      </c>
      <c r="K14" s="76">
        <f t="shared" si="2"/>
        <v>11.334464317053561</v>
      </c>
      <c r="L14" s="76">
        <f>M14/'Systems Param+Perf'!$C$58</f>
        <v>5.50177562406083</v>
      </c>
      <c r="M14" s="2">
        <f>('Systems Param+Perf'!$C$4*((G14)^2)+'Systems Param+Perf'!$C$5*((G14))+'Systems Param+Perf'!$C$6)</f>
        <v>122.13941885415043</v>
      </c>
    </row>
    <row r="15" spans="1:14" ht="15.75" customHeight="1" x14ac:dyDescent="0.25">
      <c r="A15" s="65">
        <f t="shared" si="3"/>
        <v>9.5</v>
      </c>
      <c r="C15" s="79">
        <f>((((('Aircraft W+B'!$C$44*'Systems Param+Perf'!$C$45*'Systems Param+Perf'!$C$46*'Systems Param+Perf'!$C$47)/(3600*'Systems Param+Perf'!$C$58)+('Systems Param+Perf'!$C$57/1000)*'Systems Param+Perf'!$C$60)/((((2)*M15-'Systems Param+Perf'!$C$66+'Systems Param+Perf'!$C$76+'Systems Param+Perf'!$C$83+'Systems Param+Perf'!$C$86)/'Systems Param+Perf'!$C$58)))*60))</f>
        <v>113.50515528769272</v>
      </c>
      <c r="D15" s="74">
        <f t="shared" si="0"/>
        <v>64.697938513984852</v>
      </c>
      <c r="F15" s="2">
        <f>0.5*('Aerodynamic Perf'!$B$24*A15^2*H15*'Aerodynamic Perf'!$B$14)</f>
        <v>8.9869136256727007</v>
      </c>
      <c r="G15">
        <f t="shared" si="1"/>
        <v>0.91609720954869522</v>
      </c>
      <c r="H15" s="75">
        <f>('Aerodynamic Perf'!$B$21+'Aerodynamic Perf'!$B$29+'Aerodynamic Perf'!$B$2+'Aerodynamic Perf'!$B$28+'Aerodynamic Perf'!$B$5)+I15^2/(PI()*'Aerodynamic Perf'!$B$7*'Aerodynamic Perf'!$B$10)</f>
        <v>0.1951167492112193</v>
      </c>
      <c r="I15" s="75">
        <f>('Aircraft W+B'!$C$61)/(0.5*'Aerodynamic Perf'!$B$24*A15^2*'Aerodynamic Perf'!$B$14)</f>
        <v>2.4247995255575825</v>
      </c>
      <c r="J15">
        <f>I15*0.5*'Aerodynamic Perf'!$B$24*A15^2*'Aerodynamic Perf'!$B$14</f>
        <v>111.68423000000001</v>
      </c>
      <c r="K15" s="76">
        <f t="shared" si="2"/>
        <v>12.427428887371784</v>
      </c>
      <c r="L15" s="76">
        <f>M15/'Systems Param+Perf'!$C$58</f>
        <v>4.8771914684345221</v>
      </c>
      <c r="M15" s="2">
        <f>('Systems Param+Perf'!$C$4*((G15)^2)+'Systems Param+Perf'!$C$5*((G15))+'Systems Param+Perf'!$C$6)</f>
        <v>108.27365059924641</v>
      </c>
    </row>
    <row r="16" spans="1:14" ht="15.75" customHeight="1" x14ac:dyDescent="0.25">
      <c r="A16" s="65">
        <f t="shared" si="3"/>
        <v>10</v>
      </c>
      <c r="C16" s="79">
        <f>((((('Aircraft W+B'!$C$44*'Systems Param+Perf'!$C$45*'Systems Param+Perf'!$C$46*'Systems Param+Perf'!$C$47)/(3600*'Systems Param+Perf'!$C$58)+('Systems Param+Perf'!$C$57/1000)*'Systems Param+Perf'!$C$60)/((((2)*M16-'Systems Param+Perf'!$C$66+'Systems Param+Perf'!$C$76+'Systems Param+Perf'!$C$83+'Systems Param+Perf'!$C$86)/'Systems Param+Perf'!$C$58)))*60))</f>
        <v>126.36780878715798</v>
      </c>
      <c r="D16" s="74">
        <f t="shared" si="0"/>
        <v>75.820685272294781</v>
      </c>
      <c r="F16" s="2">
        <f>0.5*('Aerodynamic Perf'!$B$24*A16^2*H16*'Aerodynamic Perf'!$B$14)</f>
        <v>8.2621565630163847</v>
      </c>
      <c r="G16">
        <f t="shared" si="1"/>
        <v>0.84221779439514621</v>
      </c>
      <c r="H16" s="75">
        <f>('Aerodynamic Perf'!$B$21+'Aerodynamic Perf'!$B$29+'Aerodynamic Perf'!$B$2+'Aerodynamic Perf'!$B$28+'Aerodynamic Perf'!$B$5)+I16^2/(PI()*'Aerodynamic Perf'!$B$7*'Aerodynamic Perf'!$B$10)</f>
        <v>0.16189171171222067</v>
      </c>
      <c r="I16" s="75">
        <f>('Aircraft W+B'!$C$61)/(0.5*'Aerodynamic Perf'!$B$24*A16^2*'Aerodynamic Perf'!$B$14)</f>
        <v>2.188381571815718</v>
      </c>
      <c r="J16">
        <f>I16*0.5*'Aerodynamic Perf'!$B$24*A16^2*'Aerodynamic Perf'!$B$14</f>
        <v>111.68423000000001</v>
      </c>
      <c r="K16" s="76">
        <f t="shared" si="2"/>
        <v>13.517563985646118</v>
      </c>
      <c r="L16" s="76">
        <f>M16/'Systems Param+Perf'!$C$58</f>
        <v>4.374106443946931</v>
      </c>
      <c r="M16" s="2">
        <f>('Systems Param+Perf'!$C$4*((G16)^2)+'Systems Param+Perf'!$C$5*((G16))+'Systems Param+Perf'!$C$6)</f>
        <v>97.105163055621873</v>
      </c>
    </row>
    <row r="17" spans="1:13" ht="15.75" customHeight="1" x14ac:dyDescent="0.25">
      <c r="A17" s="65">
        <f t="shared" si="3"/>
        <v>10.5</v>
      </c>
      <c r="C17" s="79">
        <f>((((('Aircraft W+B'!$C$44*'Systems Param+Perf'!$C$45*'Systems Param+Perf'!$C$46*'Systems Param+Perf'!$C$47)/(3600*'Systems Param+Perf'!$C$58)+('Systems Param+Perf'!$C$57/1000)*'Systems Param+Perf'!$C$60)/((((2)*M17-'Systems Param+Perf'!$C$66+'Systems Param+Perf'!$C$76+'Systems Param+Perf'!$C$83+'Systems Param+Perf'!$C$86)/'Systems Param+Perf'!$C$58)))*60))</f>
        <v>139.18602925823609</v>
      </c>
      <c r="D17" s="74">
        <f t="shared" si="0"/>
        <v>87.687198432688746</v>
      </c>
      <c r="F17" s="2">
        <f>0.5*('Aerodynamic Perf'!$B$24*A17^2*H17*'Aerodynamic Perf'!$B$14)</f>
        <v>7.6536332195818302</v>
      </c>
      <c r="G17">
        <f t="shared" si="1"/>
        <v>0.78018687253637409</v>
      </c>
      <c r="H17" s="75">
        <f>('Aerodynamic Perf'!$B$21+'Aerodynamic Perf'!$B$29+'Aerodynamic Perf'!$B$2+'Aerodynamic Perf'!$B$28+'Aerodynamic Perf'!$B$5)+I17^2/(PI()*'Aerodynamic Perf'!$B$7*'Aerodynamic Perf'!$B$10)</f>
        <v>0.13602547227726777</v>
      </c>
      <c r="I17" s="75">
        <f>('Aircraft W+B'!$C$61)/(0.5*'Aerodynamic Perf'!$B$24*A17^2*'Aerodynamic Perf'!$B$14)</f>
        <v>1.9849265957512185</v>
      </c>
      <c r="J17">
        <f>I17*0.5*'Aerodynamic Perf'!$B$24*A17^2*'Aerodynamic Perf'!$B$14</f>
        <v>111.68423000000004</v>
      </c>
      <c r="K17" s="76">
        <f t="shared" si="2"/>
        <v>14.592315413581066</v>
      </c>
      <c r="L17" s="76">
        <f>M17/'Systems Param+Perf'!$C$58</f>
        <v>3.9652616254145592</v>
      </c>
      <c r="M17" s="2">
        <f>('Systems Param+Perf'!$C$4*((G17)^2)+'Systems Param+Perf'!$C$5*((G17))+'Systems Param+Perf'!$C$6)</f>
        <v>88.02880808420322</v>
      </c>
    </row>
    <row r="18" spans="1:13" ht="15.75" customHeight="1" x14ac:dyDescent="0.25">
      <c r="A18" s="65">
        <f t="shared" si="3"/>
        <v>11</v>
      </c>
      <c r="C18" s="79">
        <f>((((('Aircraft W+B'!$C$44*'Systems Param+Perf'!$C$45*'Systems Param+Perf'!$C$46*'Systems Param+Perf'!$C$47)/(3600*'Systems Param+Perf'!$C$58)+('Systems Param+Perf'!$C$57/1000)*'Systems Param+Perf'!$C$60)/((((2)*M18-'Systems Param+Perf'!$C$66+'Systems Param+Perf'!$C$76+'Systems Param+Perf'!$C$83+'Systems Param+Perf'!$C$86)/'Systems Param+Perf'!$C$58)))*60))</f>
        <v>151.78430654228808</v>
      </c>
      <c r="D18" s="74">
        <f t="shared" si="0"/>
        <v>100.17764231791013</v>
      </c>
      <c r="F18" s="2">
        <f>0.5*('Aerodynamic Perf'!$B$24*A18^2*H18*'Aerodynamic Perf'!$B$14)</f>
        <v>7.1414236841777647</v>
      </c>
      <c r="G18">
        <f t="shared" si="1"/>
        <v>0.72797387198550101</v>
      </c>
      <c r="H18" s="75">
        <f>('Aerodynamic Perf'!$B$21+'Aerodynamic Perf'!$B$29+'Aerodynamic Perf'!$B$2+'Aerodynamic Perf'!$B$28+'Aerodynamic Perf'!$B$5)+I18^2/(PI()*'Aerodynamic Perf'!$B$7*'Aerodynamic Perf'!$B$10)</f>
        <v>0.11564600212568858</v>
      </c>
      <c r="I18" s="75">
        <f>('Aircraft W+B'!$C$61)/(0.5*'Aerodynamic Perf'!$B$24*A18^2*'Aerodynamic Perf'!$B$14)</f>
        <v>1.8085798114179488</v>
      </c>
      <c r="J18">
        <f>I18*0.5*'Aerodynamic Perf'!$B$24*A18^2*'Aerodynamic Perf'!$B$14</f>
        <v>111.68423</v>
      </c>
      <c r="K18" s="76">
        <f t="shared" si="2"/>
        <v>15.638930686530035</v>
      </c>
      <c r="L18" s="76">
        <f>M18/'Systems Param+Perf'!$C$58</f>
        <v>3.6307189637206521</v>
      </c>
      <c r="M18" s="2">
        <f>('Systems Param+Perf'!$C$4*((G18)^2)+'Systems Param+Perf'!$C$5*((G18))+'Systems Param+Perf'!$C$6)</f>
        <v>80.601960994598485</v>
      </c>
    </row>
    <row r="19" spans="1:13" ht="15.75" customHeight="1" x14ac:dyDescent="0.25">
      <c r="A19" s="65">
        <f t="shared" si="3"/>
        <v>11.5</v>
      </c>
      <c r="C19" s="79">
        <f>((((('Aircraft W+B'!$C$44*'Systems Param+Perf'!$C$45*'Systems Param+Perf'!$C$46*'Systems Param+Perf'!$C$47)/(3600*'Systems Param+Perf'!$C$58)+('Systems Param+Perf'!$C$57/1000)*'Systems Param+Perf'!$C$60)/((((2)*M19-'Systems Param+Perf'!$C$66+'Systems Param+Perf'!$C$76+'Systems Param+Perf'!$C$83+'Systems Param+Perf'!$C$86)/'Systems Param+Perf'!$C$58)))*60))</f>
        <v>163.98910412119344</v>
      </c>
      <c r="D19" s="74">
        <f t="shared" si="0"/>
        <v>113.15248184362346</v>
      </c>
      <c r="F19" s="2">
        <f>0.5*('Aerodynamic Perf'!$B$24*A19^2*H19*'Aerodynamic Perf'!$B$14)</f>
        <v>6.7098420211539214</v>
      </c>
      <c r="G19">
        <f t="shared" si="1"/>
        <v>0.68397981867012447</v>
      </c>
      <c r="H19" s="75">
        <f>('Aerodynamic Perf'!$B$21+'Aerodynamic Perf'!$B$29+'Aerodynamic Perf'!$B$2+'Aerodynamic Perf'!$B$28+'Aerodynamic Perf'!$B$5)+I19^2/(PI()*'Aerodynamic Perf'!$B$7*'Aerodynamic Perf'!$B$10)</f>
        <v>9.9414059676585273E-2</v>
      </c>
      <c r="I19" s="75">
        <f>('Aircraft W+B'!$C$61)/(0.5*'Aerodynamic Perf'!$B$24*A19^2*'Aerodynamic Perf'!$B$14)</f>
        <v>1.6547308671574426</v>
      </c>
      <c r="J19">
        <f>I19*0.5*'Aerodynamic Perf'!$B$24*A19^2*'Aerodynamic Perf'!$B$14</f>
        <v>111.68423</v>
      </c>
      <c r="K19" s="76">
        <f t="shared" si="2"/>
        <v>16.644837486172761</v>
      </c>
      <c r="L19" s="76">
        <f>M19/'Systems Param+Perf'!$C$58</f>
        <v>3.3556436746514948</v>
      </c>
      <c r="M19" s="2">
        <f>('Systems Param+Perf'!$C$4*((G19)^2)+'Systems Param+Perf'!$C$5*((G19))+'Systems Param+Perf'!$C$6)</f>
        <v>74.495289577263193</v>
      </c>
    </row>
    <row r="20" spans="1:13" ht="15.75" customHeight="1" x14ac:dyDescent="0.25">
      <c r="A20" s="65">
        <f t="shared" si="3"/>
        <v>12</v>
      </c>
      <c r="C20" s="79">
        <f>((((('Aircraft W+B'!$C$44*'Systems Param+Perf'!$C$45*'Systems Param+Perf'!$C$46*'Systems Param+Perf'!$C$47)/(3600*'Systems Param+Perf'!$C$58)+('Systems Param+Perf'!$C$57/1000)*'Systems Param+Perf'!$C$60)/((((2)*M20-'Systems Param+Perf'!$C$66+'Systems Param+Perf'!$C$76+'Systems Param+Perf'!$C$83+'Systems Param+Perf'!$C$86)/'Systems Param+Perf'!$C$58)))*60))</f>
        <v>175.63401068774309</v>
      </c>
      <c r="D20" s="74">
        <f t="shared" si="0"/>
        <v>126.45648769517501</v>
      </c>
      <c r="F20" s="2">
        <f>0.5*('Aerodynamic Perf'!$B$24*A20^2*H20*'Aerodynamic Perf'!$B$14)</f>
        <v>6.3464005307685474</v>
      </c>
      <c r="G20">
        <f t="shared" si="1"/>
        <v>0.64693175644939316</v>
      </c>
      <c r="H20" s="75">
        <f>('Aerodynamic Perf'!$B$21+'Aerodynamic Perf'!$B$29+'Aerodynamic Perf'!$B$2+'Aerodynamic Perf'!$B$28+'Aerodynamic Perf'!$B$5)+I20^2/(PI()*'Aerodynamic Perf'!$B$7*'Aerodynamic Perf'!$B$10)</f>
        <v>8.6356728256279269E-2</v>
      </c>
      <c r="I20" s="75">
        <f>('Aircraft W+B'!$C$61)/(0.5*'Aerodynamic Perf'!$B$24*A20^2*'Aerodynamic Perf'!$B$14)</f>
        <v>1.5197094248720266</v>
      </c>
      <c r="J20">
        <f>I20*0.5*'Aerodynamic Perf'!$B$24*A20^2*'Aerodynamic Perf'!$B$14</f>
        <v>111.68423000000001</v>
      </c>
      <c r="K20" s="76">
        <f t="shared" si="2"/>
        <v>17.59804308891848</v>
      </c>
      <c r="L20" s="76">
        <f>M20/'Systems Param+Perf'!$C$58</f>
        <v>3.1288268545483162</v>
      </c>
      <c r="M20" s="2">
        <f>('Systems Param+Perf'!$C$4*((G20)^2)+'Systems Param+Perf'!$C$5*((G20))+'Systems Param+Perf'!$C$6)</f>
        <v>69.459956170972632</v>
      </c>
    </row>
    <row r="21" spans="1:13" ht="15.75" customHeight="1" x14ac:dyDescent="0.25">
      <c r="A21" s="65">
        <f t="shared" si="3"/>
        <v>12.5</v>
      </c>
      <c r="C21" s="79">
        <f>((((('Aircraft W+B'!$C$44*'Systems Param+Perf'!$C$45*'Systems Param+Perf'!$C$46*'Systems Param+Perf'!$C$47)/(3600*'Systems Param+Perf'!$C$58)+('Systems Param+Perf'!$C$57/1000)*'Systems Param+Perf'!$C$60)/((((2)*M21-'Systems Param+Perf'!$C$66+'Systems Param+Perf'!$C$76+'Systems Param+Perf'!$C$83+'Systems Param+Perf'!$C$86)/'Systems Param+Perf'!$C$58)))*60))</f>
        <v>186.56492383488174</v>
      </c>
      <c r="D21" s="74">
        <f t="shared" si="0"/>
        <v>139.92369287616131</v>
      </c>
      <c r="F21" s="2">
        <f>0.5*('Aerodynamic Perf'!$B$24*A21^2*H21*'Aerodynamic Perf'!$B$14)</f>
        <v>6.0410579906530675</v>
      </c>
      <c r="G21">
        <f t="shared" si="1"/>
        <v>0.61580611525515461</v>
      </c>
      <c r="H21" s="75">
        <f>('Aerodynamic Perf'!$B$21+'Aerodynamic Perf'!$B$29+'Aerodynamic Perf'!$B$2+'Aerodynamic Perf'!$B$28+'Aerodynamic Perf'!$B$5)+I21^2/(PI()*'Aerodynamic Perf'!$B$7*'Aerodynamic Perf'!$B$10)</f>
        <v>7.5757245117325595E-2</v>
      </c>
      <c r="I21" s="75">
        <f>('Aircraft W+B'!$C$61)/(0.5*'Aerodynamic Perf'!$B$24*A21^2*'Aerodynamic Perf'!$B$14)</f>
        <v>1.4005642059620598</v>
      </c>
      <c r="J21">
        <f>I21*0.5*'Aerodynamic Perf'!$B$24*A21^2*'Aerodynamic Perf'!$B$14</f>
        <v>111.68423000000001</v>
      </c>
      <c r="K21" s="76">
        <f t="shared" si="2"/>
        <v>18.487528206615742</v>
      </c>
      <c r="L21" s="76">
        <f>M21/'Systems Param+Perf'!$C$58</f>
        <v>2.9416807934307743</v>
      </c>
      <c r="M21" s="2">
        <f>('Systems Param+Perf'!$C$4*((G21)^2)+'Systems Param+Perf'!$C$5*((G21))+'Systems Param+Perf'!$C$6)</f>
        <v>65.305313614163197</v>
      </c>
    </row>
    <row r="22" spans="1:13" ht="15.75" customHeight="1" x14ac:dyDescent="0.25">
      <c r="A22" s="65">
        <f t="shared" si="3"/>
        <v>13</v>
      </c>
      <c r="C22" s="79">
        <f>((((('Aircraft W+B'!$C$44*'Systems Param+Perf'!$C$45*'Systems Param+Perf'!$C$46*'Systems Param+Perf'!$C$47)/(3600*'Systems Param+Perf'!$C$58)+('Systems Param+Perf'!$C$57/1000)*'Systems Param+Perf'!$C$60)/((((2)*M22-'Systems Param+Perf'!$C$66+'Systems Param+Perf'!$C$76+'Systems Param+Perf'!$C$83+'Systems Param+Perf'!$C$86)/'Systems Param+Perf'!$C$58)))*60))</f>
        <v>196.64489781795336</v>
      </c>
      <c r="D22" s="74">
        <f t="shared" si="0"/>
        <v>153.38302029800363</v>
      </c>
      <c r="F22" s="2">
        <f>0.5*('Aerodynamic Perf'!$B$24*A22^2*H22*'Aerodynamic Perf'!$B$14)</f>
        <v>5.7856662567953423</v>
      </c>
      <c r="G22">
        <f t="shared" si="1"/>
        <v>0.58977229936751707</v>
      </c>
      <c r="H22" s="75">
        <f>('Aerodynamic Perf'!$B$21+'Aerodynamic Perf'!$B$29+'Aerodynamic Perf'!$B$2+'Aerodynamic Perf'!$B$28+'Aerodynamic Perf'!$B$5)+I22^2/(PI()*'Aerodynamic Perf'!$B$7*'Aerodynamic Perf'!$B$10)</f>
        <v>6.7080743570680543E-2</v>
      </c>
      <c r="I22" s="75">
        <f>('Aircraft W+B'!$C$61)/(0.5*'Aerodynamic Perf'!$B$24*A22^2*'Aerodynamic Perf'!$B$14)</f>
        <v>1.294900338352496</v>
      </c>
      <c r="J22">
        <f>I22*0.5*'Aerodynamic Perf'!$B$24*A22^2*'Aerodynamic Perf'!$B$14</f>
        <v>111.68423000000001</v>
      </c>
      <c r="K22" s="76">
        <f t="shared" si="2"/>
        <v>19.303607405426366</v>
      </c>
      <c r="L22" s="76">
        <f>M22/'Systems Param+Perf'!$C$58</f>
        <v>2.7875428377568947</v>
      </c>
      <c r="M22" s="2">
        <f>('Systems Param+Perf'!$C$4*((G22)^2)+'Systems Param+Perf'!$C$5*((G22))+'Systems Param+Perf'!$C$6)</f>
        <v>61.883450998203074</v>
      </c>
    </row>
    <row r="23" spans="1:13" ht="15.75" customHeight="1" x14ac:dyDescent="0.25">
      <c r="A23" s="65">
        <f t="shared" si="3"/>
        <v>13.5</v>
      </c>
      <c r="C23" s="79">
        <f>((((('Aircraft W+B'!$C$44*'Systems Param+Perf'!$C$45*'Systems Param+Perf'!$C$46*'Systems Param+Perf'!$C$47)/(3600*'Systems Param+Perf'!$C$58)+('Systems Param+Perf'!$C$57/1000)*'Systems Param+Perf'!$C$60)/((((2)*M23-'Systems Param+Perf'!$C$66+'Systems Param+Perf'!$C$76+'Systems Param+Perf'!$C$83+'Systems Param+Perf'!$C$86)/'Systems Param+Perf'!$C$58)))*60))</f>
        <v>205.75829511460515</v>
      </c>
      <c r="D23" s="74">
        <f t="shared" si="0"/>
        <v>166.66421904283018</v>
      </c>
      <c r="F23" s="2">
        <f>0.5*('Aerodynamic Perf'!$B$24*A23^2*H23*'Aerodynamic Perf'!$B$14)</f>
        <v>5.5735575868358413</v>
      </c>
      <c r="G23">
        <f t="shared" si="1"/>
        <v>0.56815062047256282</v>
      </c>
      <c r="H23" s="75">
        <f>('Aerodynamic Perf'!$B$21+'Aerodynamic Perf'!$B$29+'Aerodynamic Perf'!$B$2+'Aerodynamic Perf'!$B$28+'Aerodynamic Perf'!$B$5)+I23^2/(PI()*'Aerodynamic Perf'!$B$7*'Aerodynamic Perf'!$B$10)</f>
        <v>5.9923359082109412E-2</v>
      </c>
      <c r="I23" s="75">
        <f>('Aircraft W+B'!$C$61)/(0.5*'Aerodynamic Perf'!$B$24*A23^2*'Aerodynamic Perf'!$B$14)</f>
        <v>1.2007580640964159</v>
      </c>
      <c r="J23">
        <f>I23*0.5*'Aerodynamic Perf'!$B$24*A23^2*'Aerodynamic Perf'!$B$14</f>
        <v>111.68423</v>
      </c>
      <c r="K23" s="76">
        <f t="shared" si="2"/>
        <v>20.038230207540412</v>
      </c>
      <c r="L23" s="76">
        <f>M23/'Systems Param+Perf'!$C$58</f>
        <v>2.6611847253636229</v>
      </c>
      <c r="M23" s="2">
        <f>('Systems Param+Perf'!$C$4*((G23)^2)+'Systems Param+Perf'!$C$5*((G23))+'Systems Param+Perf'!$C$6)</f>
        <v>59.078300903072439</v>
      </c>
    </row>
    <row r="24" spans="1:13" ht="15.75" customHeight="1" x14ac:dyDescent="0.25">
      <c r="A24" s="65">
        <f t="shared" si="3"/>
        <v>14</v>
      </c>
      <c r="C24" s="79">
        <f>((((('Aircraft W+B'!$C$44*'Systems Param+Perf'!$C$45*'Systems Param+Perf'!$C$46*'Systems Param+Perf'!$C$47)/(3600*'Systems Param+Perf'!$C$58)+('Systems Param+Perf'!$C$57/1000)*'Systems Param+Perf'!$C$60)/((((2)*M24-'Systems Param+Perf'!$C$66+'Systems Param+Perf'!$C$76+'Systems Param+Perf'!$C$83+'Systems Param+Perf'!$C$86)/'Systems Param+Perf'!$C$58)))*60))</f>
        <v>213.81393565534827</v>
      </c>
      <c r="D24" s="74">
        <f t="shared" si="0"/>
        <v>179.60370595049255</v>
      </c>
      <c r="F24" s="2">
        <f>0.5*('Aerodynamic Perf'!$B$24*A24^2*H24*'Aerodynamic Perf'!$B$14)</f>
        <v>5.3992332273454249</v>
      </c>
      <c r="G24">
        <f t="shared" si="1"/>
        <v>0.55038055324622071</v>
      </c>
      <c r="H24" s="75">
        <f>('Aerodynamic Perf'!$B$21+'Aerodynamic Perf'!$B$29+'Aerodynamic Perf'!$B$2+'Aerodynamic Perf'!$B$28+'Aerodynamic Perf'!$B$5)+I24^2/(PI()*'Aerodynamic Perf'!$B$7*'Aerodynamic Perf'!$B$10)</f>
        <v>5.3976809587729255E-2</v>
      </c>
      <c r="I24" s="75">
        <f>('Aircraft W+B'!$C$61)/(0.5*'Aerodynamic Perf'!$B$24*A24^2*'Aerodynamic Perf'!$B$14)</f>
        <v>1.1165212101100603</v>
      </c>
      <c r="J24">
        <f>I24*0.5*'Aerodynamic Perf'!$B$24*A24^2*'Aerodynamic Perf'!$B$14</f>
        <v>111.68423000000001</v>
      </c>
      <c r="K24" s="76">
        <f t="shared" si="2"/>
        <v>20.685202008750871</v>
      </c>
      <c r="L24" s="76">
        <f>M24/'Systems Param+Perf'!$C$58</f>
        <v>2.5584612794165134</v>
      </c>
      <c r="M24" s="2">
        <f>('Systems Param+Perf'!$C$4*((G24)^2)+'Systems Param+Perf'!$C$5*((G24))+'Systems Param+Perf'!$C$6)</f>
        <v>56.7978404030466</v>
      </c>
    </row>
    <row r="25" spans="1:13" ht="15.75" customHeight="1" x14ac:dyDescent="0.25">
      <c r="A25" s="65">
        <f t="shared" si="3"/>
        <v>14.5</v>
      </c>
      <c r="C25" s="79">
        <f>((((('Aircraft W+B'!$C$44*'Systems Param+Perf'!$C$45*'Systems Param+Perf'!$C$46*'Systems Param+Perf'!$C$47)/(3600*'Systems Param+Perf'!$C$58)+('Systems Param+Perf'!$C$57/1000)*'Systems Param+Perf'!$C$60)/((((2)*M25-'Systems Param+Perf'!$C$66+'Systems Param+Perf'!$C$76+'Systems Param+Perf'!$C$83+'Systems Param+Perf'!$C$86)/'Systems Param+Perf'!$C$58)))*60))</f>
        <v>220.74703041199155</v>
      </c>
      <c r="D25" s="74">
        <f t="shared" si="0"/>
        <v>192.04991645843265</v>
      </c>
      <c r="F25" s="2">
        <f>0.5*('Aerodynamic Perf'!$B$24*A25^2*H25*'Aerodynamic Perf'!$B$14)</f>
        <v>5.2581258311880328</v>
      </c>
      <c r="G25">
        <f t="shared" si="1"/>
        <v>0.53599651694067607</v>
      </c>
      <c r="H25" s="75">
        <f>('Aerodynamic Perf'!$B$21+'Aerodynamic Perf'!$B$29+'Aerodynamic Perf'!$B$2+'Aerodynamic Perf'!$B$28+'Aerodynamic Perf'!$B$5)+I25^2/(PI()*'Aerodynamic Perf'!$B$7*'Aerodynamic Perf'!$B$10)</f>
        <v>4.9003394512160382E-2</v>
      </c>
      <c r="I25" s="75">
        <f>('Aircraft W+B'!$C$61)/(0.5*'Aerodynamic Perf'!$B$24*A25^2*'Aerodynamic Perf'!$B$14)</f>
        <v>1.0408473587708529</v>
      </c>
      <c r="J25">
        <f>I25*0.5*'Aerodynamic Perf'!$B$24*A25^2*'Aerodynamic Perf'!$B$14</f>
        <v>111.68423</v>
      </c>
      <c r="K25" s="76">
        <f t="shared" si="2"/>
        <v>21.24031139337832</v>
      </c>
      <c r="L25" s="76">
        <f>M25/'Systems Param+Perf'!$C$58</f>
        <v>2.4760552252214105</v>
      </c>
      <c r="M25" s="2">
        <f>('Systems Param+Perf'!$C$4*((G25)^2)+'Systems Param+Perf'!$C$5*((G25))+'Systems Param+Perf'!$C$6)</f>
        <v>54.968425999915318</v>
      </c>
    </row>
    <row r="26" spans="1:13" ht="15.75" customHeight="1" x14ac:dyDescent="0.25">
      <c r="A26" s="65">
        <f t="shared" si="3"/>
        <v>15</v>
      </c>
      <c r="C26" s="79">
        <f>((((('Aircraft W+B'!$C$44*'Systems Param+Perf'!$C$45*'Systems Param+Perf'!$C$46*'Systems Param+Perf'!$C$47)/(3600*'Systems Param+Perf'!$C$58)+('Systems Param+Perf'!$C$57/1000)*'Systems Param+Perf'!$C$60)/((((2)*M26-'Systems Param+Perf'!$C$66+'Systems Param+Perf'!$C$76+'Systems Param+Perf'!$C$83+'Systems Param+Perf'!$C$86)/'Systems Param+Perf'!$C$58)))*60))</f>
        <v>226.51980312817048</v>
      </c>
      <c r="D26" s="74">
        <f t="shared" si="0"/>
        <v>203.86782281535343</v>
      </c>
      <c r="F26" s="2">
        <f>0.5*('Aerodynamic Perf'!$B$24*A26^2*H26*'Aerodynamic Perf'!$B$14)</f>
        <v>5.1464163577563875</v>
      </c>
      <c r="G26">
        <f t="shared" si="1"/>
        <v>0.52460921078046763</v>
      </c>
      <c r="H26" s="75">
        <f>('Aerodynamic Perf'!$B$21+'Aerodynamic Perf'!$B$29+'Aerodynamic Perf'!$B$2+'Aerodynamic Perf'!$B$28+'Aerodynamic Perf'!$B$5)+I26^2/(PI()*'Aerodynamic Perf'!$B$7*'Aerodynamic Perf'!$B$10)</f>
        <v>4.4818115893771993E-2</v>
      </c>
      <c r="I26" s="75">
        <f>('Aircraft W+B'!$C$61)/(0.5*'Aerodynamic Perf'!$B$24*A26^2*'Aerodynamic Perf'!$B$14)</f>
        <v>0.97261403191809703</v>
      </c>
      <c r="J26">
        <f>I26*0.5*'Aerodynamic Perf'!$B$24*A26^2*'Aerodynamic Perf'!$B$14</f>
        <v>111.68423000000001</v>
      </c>
      <c r="K26" s="76">
        <f t="shared" si="2"/>
        <v>21.701359205357701</v>
      </c>
      <c r="L26" s="76">
        <f>M26/'Systems Param+Perf'!$C$58</f>
        <v>2.4112893446427028</v>
      </c>
      <c r="M26" s="2">
        <f>('Systems Param+Perf'!$C$4*((G26)^2)+'Systems Param+Perf'!$C$5*((G26))+'Systems Param+Perf'!$C$6)</f>
        <v>53.53062345106801</v>
      </c>
    </row>
    <row r="27" spans="1:13" ht="15.75" customHeight="1" x14ac:dyDescent="0.25">
      <c r="A27" s="65">
        <f t="shared" si="3"/>
        <v>15.5</v>
      </c>
      <c r="C27" s="79">
        <f>((((('Aircraft W+B'!$C$44*'Systems Param+Perf'!$C$45*'Systems Param+Perf'!$C$46*'Systems Param+Perf'!$C$47)/(3600*'Systems Param+Perf'!$C$58)+('Systems Param+Perf'!$C$57/1000)*'Systems Param+Perf'!$C$60)/((((2)*M27-'Systems Param+Perf'!$C$66+'Systems Param+Perf'!$C$76+'Systems Param+Perf'!$C$83+'Systems Param+Perf'!$C$86)/'Systems Param+Perf'!$C$58)))*60))</f>
        <v>231.12082723856369</v>
      </c>
      <c r="D27" s="74">
        <f t="shared" si="0"/>
        <v>214.94236933186423</v>
      </c>
      <c r="F27" s="2">
        <f>0.5*('Aerodynamic Perf'!$B$24*A27^2*H27*'Aerodynamic Perf'!$B$14)</f>
        <v>5.0608916311940915</v>
      </c>
      <c r="G27">
        <f t="shared" si="1"/>
        <v>0.51589109390357712</v>
      </c>
      <c r="H27" s="75">
        <f>('Aerodynamic Perf'!$B$21+'Aerodynamic Perf'!$B$29+'Aerodynamic Perf'!$B$2+'Aerodynamic Perf'!$B$28+'Aerodynamic Perf'!$B$5)+I27^2/(PI()*'Aerodynamic Perf'!$B$7*'Aerodynamic Perf'!$B$10)</f>
        <v>4.1275736960995263E-2</v>
      </c>
      <c r="I27" s="75">
        <f>('Aircraft W+B'!$C$61)/(0.5*'Aerodynamic Perf'!$B$24*A27^2*'Aerodynamic Perf'!$B$14)</f>
        <v>0.91087682489728117</v>
      </c>
      <c r="J27">
        <f>I27*0.5*'Aerodynamic Perf'!$B$24*A27^2*'Aerodynamic Perf'!$B$14</f>
        <v>111.68423</v>
      </c>
      <c r="K27" s="76">
        <f t="shared" si="2"/>
        <v>22.068093557191755</v>
      </c>
      <c r="L27" s="76">
        <f>M27/'Systems Param+Perf'!$C$58</f>
        <v>2.361986484798674</v>
      </c>
      <c r="M27" s="2">
        <f>('Systems Param+Perf'!$C$4*((G27)^2)+'Systems Param+Perf'!$C$5*((G27))+'Systems Param+Perf'!$C$6)</f>
        <v>52.436099962530569</v>
      </c>
    </row>
    <row r="28" spans="1:13" ht="15.75" customHeight="1" x14ac:dyDescent="0.25">
      <c r="A28" s="65">
        <f t="shared" si="3"/>
        <v>16</v>
      </c>
      <c r="C28" s="79">
        <f>((((('Aircraft W+B'!$C$44*'Systems Param+Perf'!$C$45*'Systems Param+Perf'!$C$46*'Systems Param+Perf'!$C$47)/(3600*'Systems Param+Perf'!$C$58)+('Systems Param+Perf'!$C$57/1000)*'Systems Param+Perf'!$C$60)/((((2)*M28-'Systems Param+Perf'!$C$66+'Systems Param+Perf'!$C$76+'Systems Param+Perf'!$C$83+'Systems Param+Perf'!$C$86)/'Systems Param+Perf'!$C$58)))*60))</f>
        <v>234.56321641806394</v>
      </c>
      <c r="D28" s="74">
        <f t="shared" si="0"/>
        <v>225.1806877613414</v>
      </c>
      <c r="F28" s="2">
        <f>0.5*('Aerodynamic Perf'!$B$24*A28^2*H28*'Aerodynamic Perf'!$B$14)</f>
        <v>4.9988325566218244</v>
      </c>
      <c r="G28">
        <f t="shared" si="1"/>
        <v>0.50956499048132764</v>
      </c>
      <c r="H28" s="75">
        <f>('Aerodynamic Perf'!$B$21+'Aerodynamic Perf'!$B$29+'Aerodynamic Perf'!$B$2+'Aerodynamic Perf'!$B$28+'Aerodynamic Perf'!$B$5)+I28^2/(PI()*'Aerodynamic Perf'!$B$7*'Aerodynamic Perf'!$B$10)</f>
        <v>3.8261308549838363E-2</v>
      </c>
      <c r="I28" s="75">
        <f>('Aircraft W+B'!$C$61)/(0.5*'Aerodynamic Perf'!$B$24*A28^2*'Aerodynamic Perf'!$B$14)</f>
        <v>0.85483655149051496</v>
      </c>
      <c r="J28">
        <f>I28*0.5*'Aerodynamic Perf'!$B$24*A28^2*'Aerodynamic Perf'!$B$14</f>
        <v>111.68423000000001</v>
      </c>
      <c r="K28" s="76">
        <f t="shared" si="2"/>
        <v>22.342062618611781</v>
      </c>
      <c r="L28" s="76">
        <f>M28/'Systems Param+Perf'!$C$58</f>
        <v>2.3263640305209266</v>
      </c>
      <c r="M28" s="2">
        <f>('Systems Param+Perf'!$C$4*((G28)^2)+'Systems Param+Perf'!$C$5*((G28))+'Systems Param+Perf'!$C$6)</f>
        <v>51.645281477564573</v>
      </c>
    </row>
    <row r="29" spans="1:13" ht="15.75" customHeight="1" x14ac:dyDescent="0.25">
      <c r="A29" s="65">
        <f t="shared" si="3"/>
        <v>16.5</v>
      </c>
      <c r="C29" s="79">
        <f>((((('Aircraft W+B'!$C$44*'Systems Param+Perf'!$C$45*'Systems Param+Perf'!$C$46*'Systems Param+Perf'!$C$47)/(3600*'Systems Param+Perf'!$C$58)+('Systems Param+Perf'!$C$57/1000)*'Systems Param+Perf'!$C$60)/((((2)*M29-'Systems Param+Perf'!$C$66+'Systems Param+Perf'!$C$76+'Systems Param+Perf'!$C$83+'Systems Param+Perf'!$C$86)/'Systems Param+Perf'!$C$58)))*60))</f>
        <v>236.88189236488398</v>
      </c>
      <c r="D29" s="74">
        <f t="shared" si="0"/>
        <v>234.51307344123512</v>
      </c>
      <c r="F29" s="2">
        <f>0.5*('Aerodynamic Perf'!$B$24*A29^2*H29*'Aerodynamic Perf'!$B$14)</f>
        <v>4.9579256786309793</v>
      </c>
      <c r="G29">
        <f t="shared" si="1"/>
        <v>0.50539507427430974</v>
      </c>
      <c r="H29" s="75">
        <f>('Aerodynamic Perf'!$B$21+'Aerodynamic Perf'!$B$29+'Aerodynamic Perf'!$B$2+'Aerodynamic Perf'!$B$28+'Aerodynamic Perf'!$B$5)+I29^2/(PI()*'Aerodynamic Perf'!$B$7*'Aerodynamic Perf'!$B$10)</f>
        <v>3.5683160913716275E-2</v>
      </c>
      <c r="I29" s="75">
        <f>('Aircraft W+B'!$C$61)/(0.5*'Aerodynamic Perf'!$B$24*A29^2*'Aerodynamic Perf'!$B$14)</f>
        <v>0.8038132495190885</v>
      </c>
      <c r="J29">
        <f>I29*0.5*'Aerodynamic Perf'!$B$24*A29^2*'Aerodynamic Perf'!$B$14</f>
        <v>111.68423000000001</v>
      </c>
      <c r="K29" s="76">
        <f t="shared" si="2"/>
        <v>22.526402620629671</v>
      </c>
      <c r="L29" s="76">
        <f>M29/'Systems Param+Perf'!$C$58</f>
        <v>2.3029535059074422</v>
      </c>
      <c r="M29" s="2">
        <f>('Systems Param+Perf'!$C$4*((G29)^2)+'Systems Param+Perf'!$C$5*((G29))+'Systems Param+Perf'!$C$6)</f>
        <v>51.125567831145226</v>
      </c>
    </row>
    <row r="30" spans="1:13" ht="15.75" customHeight="1" x14ac:dyDescent="0.25">
      <c r="A30" s="65">
        <f t="shared" si="3"/>
        <v>17</v>
      </c>
      <c r="C30" s="79">
        <f>((((('Aircraft W+B'!$C$44*'Systems Param+Perf'!$C$45*'Systems Param+Perf'!$C$46*'Systems Param+Perf'!$C$47)/(3600*'Systems Param+Perf'!$C$58)+('Systems Param+Perf'!$C$57/1000)*'Systems Param+Perf'!$C$60)/((((2)*M30-'Systems Param+Perf'!$C$66+'Systems Param+Perf'!$C$76+'Systems Param+Perf'!$C$83+'Systems Param+Perf'!$C$86)/'Systems Param+Perf'!$C$58)))*60))</f>
        <v>238.13020404521134</v>
      </c>
      <c r="D30" s="74">
        <f t="shared" si="0"/>
        <v>242.89280812611557</v>
      </c>
      <c r="F30" s="2">
        <f>0.5*('Aerodynamic Perf'!$B$24*A30^2*H30*'Aerodynamic Perf'!$B$14)</f>
        <v>4.936192673216965</v>
      </c>
      <c r="G30">
        <f t="shared" si="1"/>
        <v>0.50317968126574564</v>
      </c>
      <c r="H30" s="75">
        <f>('Aerodynamic Perf'!$B$21+'Aerodynamic Perf'!$B$29+'Aerodynamic Perf'!$B$2+'Aerodynamic Perf'!$B$28+'Aerodynamic Perf'!$B$5)+I30^2/(PI()*'Aerodynamic Perf'!$B$7*'Aerodynamic Perf'!$B$10)</f>
        <v>3.3467668216642599E-2</v>
      </c>
      <c r="I30" s="75">
        <f>('Aircraft W+B'!$C$61)/(0.5*'Aerodynamic Perf'!$B$24*A30^2*'Aerodynamic Perf'!$B$14)</f>
        <v>0.75722545737568092</v>
      </c>
      <c r="J30">
        <f>I30*0.5*'Aerodynamic Perf'!$B$24*A30^2*'Aerodynamic Perf'!$B$14</f>
        <v>111.68423</v>
      </c>
      <c r="K30" s="76">
        <f t="shared" si="2"/>
        <v>22.625581575448166</v>
      </c>
      <c r="L30" s="76">
        <f>M30/'Systems Param+Perf'!$C$58</f>
        <v>2.2905387110537569</v>
      </c>
      <c r="M30" s="2">
        <f>('Systems Param+Perf'!$C$4*((G30)^2)+'Systems Param+Perf'!$C$5*((G30))+'Systems Param+Perf'!$C$6)</f>
        <v>50.849959385393412</v>
      </c>
    </row>
    <row r="31" spans="1:13" ht="15.75" customHeight="1" x14ac:dyDescent="0.25">
      <c r="A31" s="65">
        <f t="shared" si="3"/>
        <v>17.5</v>
      </c>
      <c r="C31" s="79">
        <f>((((('Aircraft W+B'!$C$44*'Systems Param+Perf'!$C$45*'Systems Param+Perf'!$C$46*'Systems Param+Perf'!$C$47)/(3600*'Systems Param+Perf'!$C$58)+('Systems Param+Perf'!$C$57/1000)*'Systems Param+Perf'!$C$60)/((((2)*M31-'Systems Param+Perf'!$C$66+'Systems Param+Perf'!$C$76+'Systems Param+Perf'!$C$83+'Systems Param+Perf'!$C$86)/'Systems Param+Perf'!$C$58)))*60))</f>
        <v>238.37618716787753</v>
      </c>
      <c r="D31" s="74">
        <f t="shared" si="0"/>
        <v>250.2949965262714</v>
      </c>
      <c r="F31" s="2">
        <f>0.5*('Aerodynamic Perf'!$B$24*A31^2*H31*'Aerodynamic Perf'!$B$14)</f>
        <v>4.9319337345333292</v>
      </c>
      <c r="G31">
        <f t="shared" si="1"/>
        <v>0.50274553868841276</v>
      </c>
      <c r="H31" s="75">
        <f>('Aerodynamic Perf'!$B$21+'Aerodynamic Perf'!$B$29+'Aerodynamic Perf'!$B$2+'Aerodynamic Perf'!$B$28+'Aerodynamic Perf'!$B$5)+I31^2/(PI()*'Aerodynamic Perf'!$B$7*'Aerodynamic Perf'!$B$10)</f>
        <v>3.1555301207133901E-2</v>
      </c>
      <c r="I31" s="75">
        <f>('Aircraft W+B'!$C$61)/(0.5*'Aerodynamic Perf'!$B$24*A31^2*'Aerodynamic Perf'!$B$14)</f>
        <v>0.71457357447043868</v>
      </c>
      <c r="J31">
        <f>I31*0.5*'Aerodynamic Perf'!$B$24*A31^2*'Aerodynamic Perf'!$B$14</f>
        <v>111.68423000000004</v>
      </c>
      <c r="K31" s="76">
        <f t="shared" si="2"/>
        <v>22.645119746437111</v>
      </c>
      <c r="L31" s="76">
        <f>M31/'Systems Param+Perf'!$C$58</f>
        <v>2.2881076782528846</v>
      </c>
      <c r="M31" s="2">
        <f>('Systems Param+Perf'!$C$4*((G31)^2)+'Systems Param+Perf'!$C$5*((G31))+'Systems Param+Perf'!$C$6)</f>
        <v>50.795990457214046</v>
      </c>
    </row>
    <row r="32" spans="1:13" ht="15.75" customHeight="1" x14ac:dyDescent="0.25">
      <c r="A32" s="65">
        <f t="shared" si="3"/>
        <v>18</v>
      </c>
      <c r="C32" s="79">
        <f>((((('Aircraft W+B'!$C$44*'Systems Param+Perf'!$C$45*'Systems Param+Perf'!$C$46*'Systems Param+Perf'!$C$47)/(3600*'Systems Param+Perf'!$C$58)+('Systems Param+Perf'!$C$57/1000)*'Systems Param+Perf'!$C$60)/((((2)*M32-'Systems Param+Perf'!$C$66+'Systems Param+Perf'!$C$76+'Systems Param+Perf'!$C$83+'Systems Param+Perf'!$C$86)/'Systems Param+Perf'!$C$58)))*60))</f>
        <v>237.6987354453783</v>
      </c>
      <c r="D32" s="74">
        <f t="shared" si="0"/>
        <v>256.71463428100861</v>
      </c>
      <c r="F32" s="2">
        <f>0.5*('Aerodynamic Perf'!$B$24*A32^2*H32*'Aerodynamic Perf'!$B$14)</f>
        <v>4.9436818129580642</v>
      </c>
      <c r="G32">
        <f t="shared" si="1"/>
        <v>0.50394310019959876</v>
      </c>
      <c r="H32" s="75">
        <f>('Aerodynamic Perf'!$B$21+'Aerodynamic Perf'!$B$29+'Aerodynamic Perf'!$B$2+'Aerodynamic Perf'!$B$28+'Aerodynamic Perf'!$B$5)+I32^2/(PI()*'Aerodynamic Perf'!$B$7*'Aerodynamic Perf'!$B$10)</f>
        <v>2.9897625334573678E-2</v>
      </c>
      <c r="I32" s="75">
        <f>('Aircraft W+B'!$C$61)/(0.5*'Aerodynamic Perf'!$B$24*A32^2*'Aerodynamic Perf'!$B$14)</f>
        <v>0.67542641105423395</v>
      </c>
      <c r="J32">
        <f>I32*0.5*'Aerodynamic Perf'!$B$24*A32^2*'Aerodynamic Perf'!$B$14</f>
        <v>111.68423</v>
      </c>
      <c r="K32" s="76">
        <f t="shared" si="2"/>
        <v>22.591306282548448</v>
      </c>
      <c r="L32" s="76">
        <f>M32/'Systems Param+Perf'!$C$58</f>
        <v>2.2948150360256339</v>
      </c>
      <c r="M32" s="2">
        <f>('Systems Param+Perf'!$C$4*((G32)^2)+'Systems Param+Perf'!$C$5*((G32))+'Systems Param+Perf'!$C$6)</f>
        <v>50.944893799769076</v>
      </c>
    </row>
    <row r="33" spans="1:13" ht="15.75" customHeight="1" x14ac:dyDescent="0.25">
      <c r="A33" s="65">
        <f t="shared" si="3"/>
        <v>18.5</v>
      </c>
      <c r="C33" s="79">
        <f>((((('Aircraft W+B'!$C$44*'Systems Param+Perf'!$C$45*'Systems Param+Perf'!$C$46*'Systems Param+Perf'!$C$47)/(3600*'Systems Param+Perf'!$C$58)+('Systems Param+Perf'!$C$57/1000)*'Systems Param+Perf'!$C$60)/((((2)*M33-'Systems Param+Perf'!$C$66+'Systems Param+Perf'!$C$76+'Systems Param+Perf'!$C$83+'Systems Param+Perf'!$C$86)/'Systems Param+Perf'!$C$58)))*60))</f>
        <v>236.18391447827261</v>
      </c>
      <c r="D33" s="74">
        <f t="shared" si="0"/>
        <v>262.16414507088263</v>
      </c>
      <c r="F33" s="2">
        <f>0.5*('Aerodynamic Perf'!$B$24*A33^2*H33*'Aerodynamic Perf'!$B$14)</f>
        <v>4.9701653909117374</v>
      </c>
      <c r="G33">
        <f t="shared" si="1"/>
        <v>0.50664275136714954</v>
      </c>
      <c r="H33" s="75">
        <f>('Aerodynamic Perf'!$B$21+'Aerodynamic Perf'!$B$29+'Aerodynamic Perf'!$B$2+'Aerodynamic Perf'!$B$28+'Aerodynamic Perf'!$B$5)+I33^2/(PI()*'Aerodynamic Perf'!$B$7*'Aerodynamic Perf'!$B$10)</f>
        <v>2.8454999263113102E-2</v>
      </c>
      <c r="I33" s="75">
        <f>('Aircraft W+B'!$C$61)/(0.5*'Aerodynamic Perf'!$B$24*A33^2*'Aerodynamic Perf'!$B$14)</f>
        <v>0.63941024742606822</v>
      </c>
      <c r="J33">
        <f>I33*0.5*'Aerodynamic Perf'!$B$24*A33^2*'Aerodynamic Perf'!$B$14</f>
        <v>111.68423000000001</v>
      </c>
      <c r="K33" s="76">
        <f t="shared" si="2"/>
        <v>22.470928272170124</v>
      </c>
      <c r="L33" s="76">
        <f>M33/'Systems Param+Perf'!$C$58</f>
        <v>2.3099522859489037</v>
      </c>
      <c r="M33" s="2">
        <f>('Systems Param+Perf'!$C$4*((G33)^2)+'Systems Param+Perf'!$C$5*((G33))+'Systems Param+Perf'!$C$6)</f>
        <v>51.280940748065667</v>
      </c>
    </row>
    <row r="34" spans="1:13" ht="15.75" customHeight="1" x14ac:dyDescent="0.25">
      <c r="A34" s="65">
        <f t="shared" si="3"/>
        <v>19</v>
      </c>
      <c r="B34" s="78"/>
      <c r="C34" s="79">
        <f>((((('Aircraft W+B'!$C$44*'Systems Param+Perf'!$C$45*'Systems Param+Perf'!$C$46*'Systems Param+Perf'!$C$47)/(3600*'Systems Param+Perf'!$C$58)+('Systems Param+Perf'!$C$57/1000)*'Systems Param+Perf'!$C$60)/((((2)*M34-'Systems Param+Perf'!$C$66+'Systems Param+Perf'!$C$76+'Systems Param+Perf'!$C$83+'Systems Param+Perf'!$C$86)/'Systems Param+Perf'!$C$58)))*60))</f>
        <v>233.92159471783577</v>
      </c>
      <c r="D34" s="74">
        <f t="shared" si="0"/>
        <v>266.67061797833281</v>
      </c>
      <c r="F34" s="2">
        <f>0.5*('Aerodynamic Perf'!$B$24*A34^2*H34*'Aerodynamic Perf'!$B$14)</f>
        <v>5.0102780233536599</v>
      </c>
      <c r="G34">
        <f t="shared" si="1"/>
        <v>0.51073170472514373</v>
      </c>
      <c r="H34" s="75">
        <f>('Aerodynamic Perf'!$B$21+'Aerodynamic Perf'!$B$29+'Aerodynamic Perf'!$B$2+'Aerodynamic Perf'!$B$28+'Aerodynamic Perf'!$B$5)+I34^2/(PI()*'Aerodynamic Perf'!$B$7*'Aerodynamic Perf'!$B$10)</f>
        <v>2.7194796825701209E-2</v>
      </c>
      <c r="I34" s="75">
        <f>('Aircraft W+B'!$C$61)/(0.5*'Aerodynamic Perf'!$B$24*A34^2*'Aerodynamic Perf'!$B$14)</f>
        <v>0.60619988138939562</v>
      </c>
      <c r="J34">
        <f>I34*0.5*'Aerodynamic Perf'!$B$24*A34^2*'Aerodynamic Perf'!$B$14</f>
        <v>111.68423000000001</v>
      </c>
      <c r="K34" s="76">
        <f t="shared" si="2"/>
        <v>22.291024465992308</v>
      </c>
      <c r="L34" s="76">
        <f>M34/'Systems Param+Perf'!$C$58</f>
        <v>2.3329241489662849</v>
      </c>
      <c r="M34" s="2">
        <f>('Systems Param+Perf'!$C$4*((G34)^2)+'Systems Param+Perf'!$C$5*((G34))+'Systems Param+Perf'!$C$6)</f>
        <v>51.79091610705153</v>
      </c>
    </row>
    <row r="35" spans="1:13" ht="15.75" customHeight="1" x14ac:dyDescent="0.25">
      <c r="A35" s="65">
        <f t="shared" si="3"/>
        <v>19.5</v>
      </c>
      <c r="B35" s="78"/>
      <c r="C35" s="79">
        <f>((((('Aircraft W+B'!$C$44*'Systems Param+Perf'!$C$45*'Systems Param+Perf'!$C$46*'Systems Param+Perf'!$C$47)/(3600*'Systems Param+Perf'!$C$58)+('Systems Param+Perf'!$C$57/1000)*'Systems Param+Perf'!$C$60)/((((2)*M35-'Systems Param+Perf'!$C$66+'Systems Param+Perf'!$C$76+'Systems Param+Perf'!$C$83+'Systems Param+Perf'!$C$86)/'Systems Param+Perf'!$C$58)))*60))</f>
        <v>231.00252130871024</v>
      </c>
      <c r="D35" s="74">
        <f t="shared" si="0"/>
        <v>270.27294993119096</v>
      </c>
      <c r="F35" s="2">
        <f>0.5*('Aerodynamic Perf'!$B$24*A35^2*H35*'Aerodynamic Perf'!$B$14)</f>
        <v>5.0630532736294711</v>
      </c>
      <c r="G35">
        <f t="shared" si="1"/>
        <v>0.51611144481442106</v>
      </c>
      <c r="H35" s="75">
        <f>('Aerodynamic Perf'!$B$21+'Aerodynamic Perf'!$B$29+'Aerodynamic Perf'!$B$2+'Aerodynamic Perf'!$B$28+'Aerodynamic Perf'!$B$5)+I35^2/(PI()*'Aerodynamic Perf'!$B$7*'Aerodynamic Perf'!$B$10)</f>
        <v>2.6090023421368996E-2</v>
      </c>
      <c r="I35" s="75">
        <f>('Aircraft W+B'!$C$61)/(0.5*'Aerodynamic Perf'!$B$24*A35^2*'Aerodynamic Perf'!$B$14)</f>
        <v>0.5755112614899982</v>
      </c>
      <c r="J35">
        <f>I35*0.5*'Aerodynamic Perf'!$B$24*A35^2*'Aerodynamic Perf'!$B$14</f>
        <v>111.68423</v>
      </c>
      <c r="K35" s="76">
        <f t="shared" si="2"/>
        <v>22.058671707386299</v>
      </c>
      <c r="L35" s="76">
        <f>M35/'Systems Param+Perf'!$C$58</f>
        <v>2.3632296062800782</v>
      </c>
      <c r="M35" s="2">
        <f>('Systems Param+Perf'!$C$4*((G35)^2)+'Systems Param+Perf'!$C$5*((G35))+'Systems Param+Perf'!$C$6)</f>
        <v>52.463697259417742</v>
      </c>
    </row>
    <row r="36" spans="1:13" ht="15.75" customHeight="1" x14ac:dyDescent="0.25">
      <c r="A36" s="65">
        <f t="shared" si="3"/>
        <v>20</v>
      </c>
      <c r="B36" s="78"/>
      <c r="C36" s="79">
        <f>((((('Aircraft W+B'!$C$44*'Systems Param+Perf'!$C$45*'Systems Param+Perf'!$C$46*'Systems Param+Perf'!$C$47)/(3600*'Systems Param+Perf'!$C$58)+('Systems Param+Perf'!$C$57/1000)*'Systems Param+Perf'!$C$60)/((((2)*M36-'Systems Param+Perf'!$C$66+'Systems Param+Perf'!$C$76+'Systems Param+Perf'!$C$83+'Systems Param+Perf'!$C$86)/'Systems Param+Perf'!$C$58)))*60))</f>
        <v>227.51588322743811</v>
      </c>
      <c r="D36" s="74">
        <f t="shared" si="0"/>
        <v>273.01905987292577</v>
      </c>
      <c r="F36" s="2">
        <f>0.5*('Aerodynamic Perf'!$B$24*A36^2*H36*'Aerodynamic Perf'!$B$14)</f>
        <v>5.127643979463774</v>
      </c>
      <c r="G36">
        <f t="shared" si="1"/>
        <v>0.52269561462423786</v>
      </c>
      <c r="H36" s="75">
        <f>('Aerodynamic Perf'!$B$21+'Aerodynamic Perf'!$B$29+'Aerodynamic Perf'!$B$2+'Aerodynamic Perf'!$B$28+'Aerodynamic Perf'!$B$5)+I36^2/(PI()*'Aerodynamic Perf'!$B$7*'Aerodynamic Perf'!$B$10)</f>
        <v>2.5118231982013791E-2</v>
      </c>
      <c r="I36" s="75">
        <f>('Aircraft W+B'!$C$61)/(0.5*'Aerodynamic Perf'!$B$24*A36^2*'Aerodynamic Perf'!$B$14)</f>
        <v>0.5470953929539295</v>
      </c>
      <c r="J36">
        <f>I36*0.5*'Aerodynamic Perf'!$B$24*A36^2*'Aerodynamic Perf'!$B$14</f>
        <v>111.68423000000001</v>
      </c>
      <c r="K36" s="76">
        <f t="shared" si="2"/>
        <v>21.780808193255151</v>
      </c>
      <c r="L36" s="76">
        <f>M36/'Systems Param+Perf'!$C$58</f>
        <v>2.4004466000371689</v>
      </c>
      <c r="M36" s="2">
        <f>('Systems Param+Perf'!$C$4*((G36)^2)+'Systems Param+Perf'!$C$5*((G36))+'Systems Param+Perf'!$C$6)</f>
        <v>53.289914520825157</v>
      </c>
    </row>
    <row r="37" spans="1:13" ht="15.75" customHeight="1" x14ac:dyDescent="0.25">
      <c r="A37" s="65">
        <f t="shared" si="3"/>
        <v>20.5</v>
      </c>
      <c r="B37" s="78"/>
      <c r="C37" s="79">
        <f>((((('Aircraft W+B'!$C$44*'Systems Param+Perf'!$C$45*'Systems Param+Perf'!$C$46*'Systems Param+Perf'!$C$47)/(3600*'Systems Param+Perf'!$C$58)+('Systems Param+Perf'!$C$57/1000)*'Systems Param+Perf'!$C$60)/((((2)*M37-'Systems Param+Perf'!$C$66+'Systems Param+Perf'!$C$76+'Systems Param+Perf'!$C$83+'Systems Param+Perf'!$C$86)/'Systems Param+Perf'!$C$58)))*60))</f>
        <v>223.54739705265217</v>
      </c>
      <c r="D37" s="74">
        <f t="shared" si="0"/>
        <v>274.96329837476219</v>
      </c>
      <c r="F37" s="2">
        <f>0.5*('Aerodynamic Perf'!$B$24*A37^2*H37*'Aerodynamic Perf'!$B$14)</f>
        <v>5.2033050147742941</v>
      </c>
      <c r="G37">
        <f t="shared" si="1"/>
        <v>0.53040825838677819</v>
      </c>
      <c r="H37" s="75">
        <f>('Aerodynamic Perf'!$B$21+'Aerodynamic Perf'!$B$29+'Aerodynamic Perf'!$B$2+'Aerodynamic Perf'!$B$28+'Aerodynamic Perf'!$B$5)+I37^2/(PI()*'Aerodynamic Perf'!$B$7*'Aerodynamic Perf'!$B$10)</f>
        <v>2.4260668143539142E-2</v>
      </c>
      <c r="I37" s="75">
        <f>('Aircraft W+B'!$C$61)/(0.5*'Aerodynamic Perf'!$B$24*A37^2*'Aerodynamic Perf'!$B$14)</f>
        <v>0.52073327110427559</v>
      </c>
      <c r="J37">
        <f>I37*0.5*'Aerodynamic Perf'!$B$24*A37^2*'Aerodynamic Perf'!$B$14</f>
        <v>111.68423000000001</v>
      </c>
      <c r="K37" s="76">
        <f t="shared" si="2"/>
        <v>21.464094394405706</v>
      </c>
      <c r="L37" s="76">
        <f>M37/'Systems Param+Perf'!$C$58</f>
        <v>2.4442196083584657</v>
      </c>
      <c r="M37" s="2">
        <f>('Systems Param+Perf'!$C$4*((G37)^2)+'Systems Param+Perf'!$C$5*((G37))+'Systems Param+Perf'!$C$6)</f>
        <v>54.261675305557951</v>
      </c>
    </row>
    <row r="38" spans="1:13" ht="15.75" customHeight="1" x14ac:dyDescent="0.25">
      <c r="A38" s="65">
        <f t="shared" si="3"/>
        <v>21</v>
      </c>
      <c r="B38" s="78"/>
      <c r="C38" s="79">
        <f>((((('Aircraft W+B'!$C$44*'Systems Param+Perf'!$C$45*'Systems Param+Perf'!$C$46*'Systems Param+Perf'!$C$47)/(3600*'Systems Param+Perf'!$C$58)+('Systems Param+Perf'!$C$57/1000)*'Systems Param+Perf'!$C$60)/((((2)*M38-'Systems Param+Perf'!$C$66+'Systems Param+Perf'!$C$76+'Systems Param+Perf'!$C$83+'Systems Param+Perf'!$C$86)/'Systems Param+Perf'!$C$58)))*60))</f>
        <v>219.17788446706857</v>
      </c>
      <c r="D38" s="74">
        <f t="shared" si="0"/>
        <v>276.16413442850643</v>
      </c>
      <c r="F38" s="2">
        <f>0.5*('Aerodynamic Perf'!$B$24*A38^2*H38*'Aerodynamic Perf'!$B$14)</f>
        <v>5.2893788895728777</v>
      </c>
      <c r="G38">
        <f t="shared" si="1"/>
        <v>0.53918235367715361</v>
      </c>
      <c r="H38" s="75">
        <f>('Aerodynamic Perf'!$B$21+'Aerodynamic Perf'!$B$29+'Aerodynamic Perf'!$B$2+'Aerodynamic Perf'!$B$28+'Aerodynamic Perf'!$B$5)+I38^2/(PI()*'Aerodynamic Perf'!$B$7*'Aerodynamic Perf'!$B$10)</f>
        <v>2.3501592017329237E-2</v>
      </c>
      <c r="I38" s="75">
        <f>('Aircraft W+B'!$C$61)/(0.5*'Aerodynamic Perf'!$B$24*A38^2*'Aerodynamic Perf'!$B$14)</f>
        <v>0.49623164893780464</v>
      </c>
      <c r="J38">
        <f>I38*0.5*'Aerodynamic Perf'!$B$24*A38^2*'Aerodynamic Perf'!$B$14</f>
        <v>111.68423000000004</v>
      </c>
      <c r="K38" s="76">
        <f t="shared" si="2"/>
        <v>21.114809948700543</v>
      </c>
      <c r="L38" s="76">
        <f>M38/'Systems Param+Perf'!$C$58</f>
        <v>2.4942494937167292</v>
      </c>
      <c r="M38" s="2">
        <f>('Systems Param+Perf'!$C$4*((G38)^2)+'Systems Param+Perf'!$C$5*((G38))+'Systems Param+Perf'!$C$6)</f>
        <v>55.372338760511397</v>
      </c>
    </row>
    <row r="39" spans="1:13" ht="15.75" customHeight="1" x14ac:dyDescent="0.25">
      <c r="A39" s="65">
        <f t="shared" si="3"/>
        <v>21.5</v>
      </c>
      <c r="B39" s="78"/>
      <c r="C39" s="79">
        <f>((((('Aircraft W+B'!$C$44*'Systems Param+Perf'!$C$45*'Systems Param+Perf'!$C$46*'Systems Param+Perf'!$C$47)/(3600*'Systems Param+Perf'!$C$58)+('Systems Param+Perf'!$C$57/1000)*'Systems Param+Perf'!$C$60)/((((2)*M39-'Systems Param+Perf'!$C$66+'Systems Param+Perf'!$C$76+'Systems Param+Perf'!$C$83+'Systems Param+Perf'!$C$86)/'Systems Param+Perf'!$C$58)))*60))</f>
        <v>214.48229766571089</v>
      </c>
      <c r="D39" s="74">
        <f t="shared" si="0"/>
        <v>276.682163988767</v>
      </c>
      <c r="F39" s="2">
        <f>0.5*('Aerodynamic Perf'!$B$24*A39^2*H39*'Aerodynamic Perf'!$B$14)</f>
        <v>5.3852836662346375</v>
      </c>
      <c r="G39">
        <f t="shared" si="1"/>
        <v>0.54895857963655836</v>
      </c>
      <c r="H39" s="75">
        <f>('Aerodynamic Perf'!$B$21+'Aerodynamic Perf'!$B$29+'Aerodynamic Perf'!$B$2+'Aerodynamic Perf'!$B$28+'Aerodynamic Perf'!$B$5)+I39^2/(PI()*'Aerodynamic Perf'!$B$7*'Aerodynamic Perf'!$B$10)</f>
        <v>2.2827736938755814E-2</v>
      </c>
      <c r="I39" s="75">
        <f>('Aircraft W+B'!$C$61)/(0.5*'Aerodynamic Perf'!$B$24*A39^2*'Aerodynamic Perf'!$B$14)</f>
        <v>0.47341948551989582</v>
      </c>
      <c r="J39">
        <f>I39*0.5*'Aerodynamic Perf'!$B$24*A39^2*'Aerodynamic Perf'!$B$14</f>
        <v>111.68423000000004</v>
      </c>
      <c r="K39" s="76">
        <f t="shared" si="2"/>
        <v>20.738783121166399</v>
      </c>
      <c r="L39" s="76">
        <f>M39/'Systems Param+Perf'!$C$58</f>
        <v>2.5502851613000872</v>
      </c>
      <c r="M39" s="2">
        <f>('Systems Param+Perf'!$C$4*((G39)^2)+'Systems Param+Perf'!$C$5*((G39))+'Systems Param+Perf'!$C$6)</f>
        <v>56.616330580861941</v>
      </c>
    </row>
    <row r="40" spans="1:13" ht="15.75" customHeight="1" x14ac:dyDescent="0.25">
      <c r="A40" s="65">
        <f t="shared" si="3"/>
        <v>22</v>
      </c>
      <c r="B40" s="78"/>
      <c r="C40" s="79">
        <f>((((('Aircraft W+B'!$C$44*'Systems Param+Perf'!$C$45*'Systems Param+Perf'!$C$46*'Systems Param+Perf'!$C$47)/(3600*'Systems Param+Perf'!$C$58)+('Systems Param+Perf'!$C$57/1000)*'Systems Param+Perf'!$C$60)/((((2)*M40-'Systems Param+Perf'!$C$66+'Systems Param+Perf'!$C$76+'Systems Param+Perf'!$C$83+'Systems Param+Perf'!$C$86)/'Systems Param+Perf'!$C$58)))*60))</f>
        <v>209.52913224085412</v>
      </c>
      <c r="D40" s="74">
        <f t="shared" si="0"/>
        <v>276.57845455792744</v>
      </c>
      <c r="F40" s="2">
        <f>0.5*('Aerodynamic Perf'!$B$24*A40^2*H40*'Aerodynamic Perf'!$B$14)</f>
        <v>5.4905027758831508</v>
      </c>
      <c r="G40">
        <f t="shared" si="1"/>
        <v>0.55968427888717132</v>
      </c>
      <c r="H40" s="75">
        <f>('Aerodynamic Perf'!$B$21+'Aerodynamic Perf'!$B$29+'Aerodynamic Perf'!$B$2+'Aerodynamic Perf'!$B$28+'Aerodynamic Perf'!$B$5)+I40^2/(PI()*'Aerodynamic Perf'!$B$7*'Aerodynamic Perf'!$B$10)</f>
        <v>2.2227875132855537E-2</v>
      </c>
      <c r="I40" s="75">
        <f>('Aircraft W+B'!$C$61)/(0.5*'Aerodynamic Perf'!$B$24*A40^2*'Aerodynamic Perf'!$B$14)</f>
        <v>0.45214495285448719</v>
      </c>
      <c r="J40">
        <f>I40*0.5*'Aerodynamic Perf'!$B$24*A40^2*'Aerodynamic Perf'!$B$14</f>
        <v>111.68423</v>
      </c>
      <c r="K40" s="76">
        <f t="shared" si="2"/>
        <v>20.341348426335241</v>
      </c>
      <c r="L40" s="76">
        <f>M40/'Systems Param+Perf'!$C$58</f>
        <v>2.6121166675324421</v>
      </c>
      <c r="M40" s="2">
        <f>('Systems Param+Perf'!$C$4*((G40)^2)+'Systems Param+Perf'!$C$5*((G40))+'Systems Param+Perf'!$C$6)</f>
        <v>57.988990019220218</v>
      </c>
    </row>
    <row r="41" spans="1:13" ht="15.75" customHeight="1" x14ac:dyDescent="0.25">
      <c r="A41" s="65">
        <f t="shared" si="3"/>
        <v>22.5</v>
      </c>
      <c r="B41" s="78"/>
      <c r="C41" s="79">
        <f>((((('Aircraft W+B'!$C$44*'Systems Param+Perf'!$C$45*'Systems Param+Perf'!$C$46*'Systems Param+Perf'!$C$47)/(3600*'Systems Param+Perf'!$C$58)+('Systems Param+Perf'!$C$57/1000)*'Systems Param+Perf'!$C$60)/((((2)*M41-'Systems Param+Perf'!$C$66+'Systems Param+Perf'!$C$76+'Systems Param+Perf'!$C$83+'Systems Param+Perf'!$C$86)/'Systems Param+Perf'!$C$58)))*60))</f>
        <v>204.3801610178912</v>
      </c>
      <c r="D41" s="74">
        <f t="shared" si="0"/>
        <v>275.91321737415313</v>
      </c>
      <c r="F41" s="2">
        <f>0.5*('Aerodynamic Perf'!$B$24*A41^2*H41*'Aerodynamic Perf'!$B$14)</f>
        <v>5.6045764009383223</v>
      </c>
      <c r="G41">
        <f t="shared" si="1"/>
        <v>0.57131257909666888</v>
      </c>
      <c r="H41" s="75">
        <f>('Aerodynamic Perf'!$B$21+'Aerodynamic Perf'!$B$29+'Aerodynamic Perf'!$B$2+'Aerodynamic Perf'!$B$28+'Aerodynamic Perf'!$B$5)+I41^2/(PI()*'Aerodynamic Perf'!$B$7*'Aerodynamic Perf'!$B$10)</f>
        <v>2.1692467337041381E-2</v>
      </c>
      <c r="I41" s="75">
        <f>('Aircraft W+B'!$C$61)/(0.5*'Aerodynamic Perf'!$B$24*A41^2*'Aerodynamic Perf'!$B$14)</f>
        <v>0.43227290307470978</v>
      </c>
      <c r="J41">
        <f>I41*0.5*'Aerodynamic Perf'!$B$24*A41^2*'Aerodynamic Perf'!$B$14</f>
        <v>111.68423000000001</v>
      </c>
      <c r="K41" s="76">
        <f t="shared" si="2"/>
        <v>19.927327599870303</v>
      </c>
      <c r="L41" s="76">
        <f>M41/'Systems Param+Perf'!$C$58</f>
        <v>2.6795694974082185</v>
      </c>
      <c r="M41" s="2">
        <f>('Systems Param+Perf'!$C$4*((G41)^2)+'Systems Param+Perf'!$C$5*((G41))+'Systems Param+Perf'!$C$6)</f>
        <v>59.486442842462459</v>
      </c>
    </row>
    <row r="42" spans="1:13" ht="15.75" customHeight="1" x14ac:dyDescent="0.25">
      <c r="A42" s="65">
        <f t="shared" si="3"/>
        <v>23</v>
      </c>
      <c r="B42" s="78"/>
      <c r="C42" s="79">
        <f>((((('Aircraft W+B'!$C$44*'Systems Param+Perf'!$C$45*'Systems Param+Perf'!$C$46*'Systems Param+Perf'!$C$47)/(3600*'Systems Param+Perf'!$C$58)+('Systems Param+Perf'!$C$57/1000)*'Systems Param+Perf'!$C$60)/((((2)*M42-'Systems Param+Perf'!$C$66+'Systems Param+Perf'!$C$76+'Systems Param+Perf'!$C$83+'Systems Param+Perf'!$C$86)/'Systems Param+Perf'!$C$58)))*60))</f>
        <v>199.0904226094039</v>
      </c>
      <c r="D42" s="80">
        <f t="shared" si="0"/>
        <v>274.74478320097739</v>
      </c>
      <c r="F42" s="2">
        <f>0.5*('Aerodynamic Perf'!$B$24*A42^2*H42*'Aerodynamic Perf'!$B$14)</f>
        <v>5.72709415448203</v>
      </c>
      <c r="G42">
        <f t="shared" si="1"/>
        <v>0.58380164673619062</v>
      </c>
      <c r="H42" s="75">
        <f>('Aerodynamic Perf'!$B$21+'Aerodynamic Perf'!$B$29+'Aerodynamic Perf'!$B$2+'Aerodynamic Perf'!$B$28+'Aerodynamic Perf'!$B$5)+I42^2/(PI()*'Aerodynamic Perf'!$B$7*'Aerodynamic Perf'!$B$10)</f>
        <v>2.121337872978658E-2</v>
      </c>
      <c r="I42" s="75">
        <f>('Aircraft W+B'!$C$61)/(0.5*'Aerodynamic Perf'!$B$24*A42^2*'Aerodynamic Perf'!$B$14)</f>
        <v>0.41368271678936064</v>
      </c>
      <c r="J42">
        <f>I42*0.5*'Aerodynamic Perf'!$B$24*A42^2*'Aerodynamic Perf'!$B$14</f>
        <v>111.68423</v>
      </c>
      <c r="K42" s="76">
        <f t="shared" si="2"/>
        <v>19.501029141034081</v>
      </c>
      <c r="L42" s="76">
        <f>M42/'Systems Param+Perf'!$C$58</f>
        <v>2.7524997892345784</v>
      </c>
      <c r="M42" s="2">
        <f>('Systems Param+Perf'!$C$4*((G42)^2)+'Systems Param+Perf'!$C$5*((G42))+'Systems Param+Perf'!$C$6)</f>
        <v>61.105495321007652</v>
      </c>
    </row>
    <row r="43" spans="1:13" ht="15.75" customHeight="1" x14ac:dyDescent="0.25">
      <c r="A43" s="65">
        <f t="shared" si="3"/>
        <v>23.5</v>
      </c>
      <c r="B43" s="78"/>
      <c r="C43" s="79">
        <f>((((('Aircraft W+B'!$C$44*'Systems Param+Perf'!$C$45*'Systems Param+Perf'!$C$46*'Systems Param+Perf'!$C$47)/(3600*'Systems Param+Perf'!$C$58)+('Systems Param+Perf'!$C$57/1000)*'Systems Param+Perf'!$C$60)/((((2)*M43-'Systems Param+Perf'!$C$66+'Systems Param+Perf'!$C$76+'Systems Param+Perf'!$C$83+'Systems Param+Perf'!$C$86)/'Systems Param+Perf'!$C$58)))*60))</f>
        <v>193.70840308395285</v>
      </c>
      <c r="D43" s="80">
        <f t="shared" si="0"/>
        <v>273.12884834837348</v>
      </c>
      <c r="F43" s="2">
        <f>0.5*('Aerodynamic Perf'!$B$24*A43^2*H43*'Aerodynamic Perf'!$B$14)</f>
        <v>5.8576888381095404</v>
      </c>
      <c r="G43">
        <f t="shared" si="1"/>
        <v>0.59711405077569213</v>
      </c>
      <c r="H43" s="75">
        <f>('Aerodynamic Perf'!$B$21+'Aerodynamic Perf'!$B$29+'Aerodynamic Perf'!$B$2+'Aerodynamic Perf'!$B$28+'Aerodynamic Perf'!$B$5)+I43^2/(PI()*'Aerodynamic Perf'!$B$7*'Aerodynamic Perf'!$B$10)</f>
        <v>2.0783647511785158E-2</v>
      </c>
      <c r="I43" s="75">
        <f>('Aircraft W+B'!$C$61)/(0.5*'Aerodynamic Perf'!$B$24*A43^2*'Aerodynamic Perf'!$B$14)</f>
        <v>0.3962664684138919</v>
      </c>
      <c r="J43">
        <f>I43*0.5*'Aerodynamic Perf'!$B$24*A43^2*'Aerodynamic Perf'!$B$14</f>
        <v>111.68423</v>
      </c>
      <c r="K43" s="76">
        <f t="shared" si="2"/>
        <v>19.066261982608825</v>
      </c>
      <c r="L43" s="76">
        <f>M43/'Systems Param+Perf'!$C$58</f>
        <v>2.8307903314637954</v>
      </c>
      <c r="M43" s="2">
        <f>('Systems Param+Perf'!$C$4*((G43)^2)+'Systems Param+Perf'!$C$5*((G43))+'Systems Param+Perf'!$C$6)</f>
        <v>62.843545358496272</v>
      </c>
    </row>
    <row r="44" spans="1:13" ht="15.75" customHeight="1" x14ac:dyDescent="0.25">
      <c r="A44" s="65">
        <f t="shared" si="3"/>
        <v>24</v>
      </c>
      <c r="B44" s="78"/>
      <c r="C44" s="79">
        <f>((((('Aircraft W+B'!$C$44*'Systems Param+Perf'!$C$45*'Systems Param+Perf'!$C$46*'Systems Param+Perf'!$C$47)/(3600*'Systems Param+Perf'!$C$58)+('Systems Param+Perf'!$C$57/1000)*'Systems Param+Perf'!$C$60)/((((2)*M44-'Systems Param+Perf'!$C$66+'Systems Param+Perf'!$C$76+'Systems Param+Perf'!$C$83+'Systems Param+Perf'!$C$86)/'Systems Param+Perf'!$C$58)))*60))</f>
        <v>188.27635634141313</v>
      </c>
      <c r="D44" s="74">
        <f t="shared" si="0"/>
        <v>271.11795313163492</v>
      </c>
      <c r="F44" s="2">
        <f>0.5*('Aerodynamic Perf'!$B$24*A44^2*H44*'Aerodynamic Perf'!$B$14)</f>
        <v>5.9960311004340729</v>
      </c>
      <c r="G44">
        <f t="shared" si="1"/>
        <v>0.61121621818899818</v>
      </c>
      <c r="H44" s="75">
        <f>('Aerodynamic Perf'!$B$21+'Aerodynamic Perf'!$B$29+'Aerodynamic Perf'!$B$2+'Aerodynamic Perf'!$B$28+'Aerodynamic Perf'!$B$5)+I44^2/(PI()*'Aerodynamic Perf'!$B$7*'Aerodynamic Perf'!$B$10)</f>
        <v>2.0397295516017454E-2</v>
      </c>
      <c r="I44" s="75">
        <f>('Aircraft W+B'!$C$61)/(0.5*'Aerodynamic Perf'!$B$24*A44^2*'Aerodynamic Perf'!$B$14)</f>
        <v>0.37992735621800666</v>
      </c>
      <c r="J44">
        <f>I44*0.5*'Aerodynamic Perf'!$B$24*A44^2*'Aerodynamic Perf'!$B$14</f>
        <v>111.68423000000001</v>
      </c>
      <c r="K44" s="76">
        <f t="shared" si="2"/>
        <v>18.626359358261972</v>
      </c>
      <c r="L44" s="76">
        <f>M44/'Systems Param+Perf'!$C$58</f>
        <v>2.9143471919763808</v>
      </c>
      <c r="M44" s="2">
        <f>('Systems Param+Perf'!$C$4*((G44)^2)+'Systems Param+Perf'!$C$5*((G44))+'Systems Param+Perf'!$C$6)</f>
        <v>64.698507661875666</v>
      </c>
    </row>
    <row r="45" spans="1:13" ht="15.75" customHeight="1" x14ac:dyDescent="0.25">
      <c r="A45" s="65">
        <f t="shared" si="3"/>
        <v>24.5</v>
      </c>
      <c r="C45" s="79">
        <f>((((('Aircraft W+B'!$C$44*'Systems Param+Perf'!$C$45*'Systems Param+Perf'!$C$46*'Systems Param+Perf'!$C$47)/(3600*'Systems Param+Perf'!$C$58)+('Systems Param+Perf'!$C$57/1000)*'Systems Param+Perf'!$C$60)/((((2)*M45-'Systems Param+Perf'!$C$66+'Systems Param+Perf'!$C$76+'Systems Param+Perf'!$C$83+'Systems Param+Perf'!$C$86)/'Systems Param+Perf'!$C$58)))*60))</f>
        <v>182.83071715598703</v>
      </c>
      <c r="D45" s="74">
        <f t="shared" si="0"/>
        <v>268.76115421930092</v>
      </c>
      <c r="F45" s="2">
        <f>0.5*('Aerodynamic Perf'!$B$24*A45^2*H45*'Aerodynamic Perf'!$B$14)</f>
        <v>6.1418248507329372</v>
      </c>
      <c r="G45">
        <f t="shared" si="1"/>
        <v>0.62607796643556946</v>
      </c>
      <c r="H45" s="75">
        <f>('Aerodynamic Perf'!$B$21+'Aerodynamic Perf'!$B$29+'Aerodynamic Perf'!$B$2+'Aerodynamic Perf'!$B$28+'Aerodynamic Perf'!$B$5)+I45^2/(PI()*'Aerodynamic Perf'!$B$7*'Aerodynamic Perf'!$B$10)</f>
        <v>2.004917253413523E-2</v>
      </c>
      <c r="I45" s="75">
        <f>('Aircraft W+B'!$C$61)/(0.5*'Aerodynamic Perf'!$B$24*A45^2*'Aerodynamic Perf'!$B$14)</f>
        <v>0.36457835432165231</v>
      </c>
      <c r="J45">
        <f>I45*0.5*'Aerodynamic Perf'!$B$24*A45^2*'Aerodynamic Perf'!$B$14</f>
        <v>111.68423</v>
      </c>
      <c r="K45" s="76">
        <f t="shared" si="2"/>
        <v>18.18420953288372</v>
      </c>
      <c r="L45" s="76">
        <f>M45/'Systems Param+Perf'!$C$58</f>
        <v>3.0030968679687851</v>
      </c>
      <c r="M45" s="2">
        <f>('Systems Param+Perf'!$C$4*((G45)^2)+'Systems Param+Perf'!$C$5*((G45))+'Systems Param+Perf'!$C$6)</f>
        <v>66.668750468907035</v>
      </c>
    </row>
    <row r="46" spans="1:13" ht="15.75" customHeight="1" x14ac:dyDescent="0.25">
      <c r="A46" s="65">
        <f t="shared" si="3"/>
        <v>25</v>
      </c>
      <c r="C46" s="79">
        <f>((((('Aircraft W+B'!$C$44*'Systems Param+Perf'!$C$45*'Systems Param+Perf'!$C$46*'Systems Param+Perf'!$C$47)/(3600*'Systems Param+Perf'!$C$58)+('Systems Param+Perf'!$C$57/1000)*'Systems Param+Perf'!$C$60)/((((2)*M46-'Systems Param+Perf'!$C$66+'Systems Param+Perf'!$C$76+'Systems Param+Perf'!$C$83+'Systems Param+Perf'!$C$86)/'Systems Param+Perf'!$C$58)))*60))</f>
        <v>177.40256938591409</v>
      </c>
      <c r="D46" s="74">
        <f t="shared" si="0"/>
        <v>266.10385407887117</v>
      </c>
      <c r="F46" s="2">
        <f>0.5*('Aerodynamic Perf'!$B$24*A46^2*H46*'Aerodynamic Perf'!$B$14)</f>
        <v>6.2948033081471388</v>
      </c>
      <c r="G46">
        <f t="shared" si="1"/>
        <v>0.6416721007285564</v>
      </c>
      <c r="H46" s="75">
        <f>('Aerodynamic Perf'!$B$21+'Aerodynamic Perf'!$B$29+'Aerodynamic Perf'!$B$2+'Aerodynamic Perf'!$B$28+'Aerodynamic Perf'!$B$5)+I46^2/(PI()*'Aerodynamic Perf'!$B$7*'Aerodynamic Perf'!$B$10)</f>
        <v>1.9734827819832851E-2</v>
      </c>
      <c r="I46" s="75">
        <f>('Aircraft W+B'!$C$61)/(0.5*'Aerodynamic Perf'!$B$24*A46^2*'Aerodynamic Perf'!$B$14)</f>
        <v>0.35014105149051494</v>
      </c>
      <c r="J46">
        <f>I46*0.5*'Aerodynamic Perf'!$B$24*A46^2*'Aerodynamic Perf'!$B$14</f>
        <v>111.68423000000001</v>
      </c>
      <c r="K46" s="76">
        <f t="shared" si="2"/>
        <v>17.742290669424271</v>
      </c>
      <c r="L46" s="76">
        <f>M46/'Systems Param+Perf'!$C$58</f>
        <v>3.0969838663815636</v>
      </c>
      <c r="M46" s="2">
        <f>('Systems Param+Perf'!$C$4*((G46)^2)+'Systems Param+Perf'!$C$5*((G46))+'Systems Param+Perf'!$C$6)</f>
        <v>68.753041833670721</v>
      </c>
    </row>
    <row r="47" spans="1:13" ht="15.75" customHeight="1" x14ac:dyDescent="0.25">
      <c r="A47" s="65">
        <f t="shared" si="3"/>
        <v>25.5</v>
      </c>
      <c r="C47" s="79">
        <f>((((('Aircraft W+B'!$C$44*'Systems Param+Perf'!$C$45*'Systems Param+Perf'!$C$46*'Systems Param+Perf'!$C$47)/(3600*'Systems Param+Perf'!$C$58)+('Systems Param+Perf'!$C$57/1000)*'Systems Param+Perf'!$C$60)/((((2)*M47-'Systems Param+Perf'!$C$66+'Systems Param+Perf'!$C$76+'Systems Param+Perf'!$C$83+'Systems Param+Perf'!$C$86)/'Systems Param+Perf'!$C$58)))*60))</f>
        <v>172.01813989432944</v>
      </c>
      <c r="D47" s="74">
        <f t="shared" si="0"/>
        <v>263.18775403832399</v>
      </c>
      <c r="F47" s="2">
        <f>0.5*('Aerodynamic Perf'!$B$24*A47^2*H47*'Aerodynamic Perf'!$B$14)</f>
        <v>6.4547255877380074</v>
      </c>
      <c r="G47">
        <f t="shared" si="1"/>
        <v>0.65797406602833919</v>
      </c>
      <c r="H47" s="75">
        <f>('Aerodynamic Perf'!$B$21+'Aerodynamic Perf'!$B$29+'Aerodynamic Perf'!$B$2+'Aerodynamic Perf'!$B$28+'Aerodynamic Perf'!$B$5)+I47^2/(PI()*'Aerodynamic Perf'!$B$7*'Aerodynamic Perf'!$B$10)</f>
        <v>1.9450403598349156E-2</v>
      </c>
      <c r="I47" s="75">
        <f>('Aircraft W+B'!$C$61)/(0.5*'Aerodynamic Perf'!$B$24*A47^2*'Aerodynamic Perf'!$B$14)</f>
        <v>0.33654464772252485</v>
      </c>
      <c r="J47">
        <f>I47*0.5*'Aerodynamic Perf'!$B$24*A47^2*'Aerodynamic Perf'!$B$14</f>
        <v>111.68423</v>
      </c>
      <c r="K47" s="76">
        <f t="shared" si="2"/>
        <v>17.302707680116669</v>
      </c>
      <c r="L47" s="76">
        <f>M47/'Systems Param+Perf'!$C$58</f>
        <v>3.1959686419732685</v>
      </c>
      <c r="M47" s="2">
        <f>('Systems Param+Perf'!$C$4*((G47)^2)+'Systems Param+Perf'!$C$5*((G47))+'Systems Param+Perf'!$C$6)</f>
        <v>70.950503851806573</v>
      </c>
    </row>
    <row r="48" spans="1:13" ht="15.75" customHeight="1" x14ac:dyDescent="0.25">
      <c r="A48" s="65">
        <f t="shared" si="3"/>
        <v>26</v>
      </c>
      <c r="C48" s="79">
        <f>((((('Aircraft W+B'!$C$44*'Systems Param+Perf'!$C$45*'Systems Param+Perf'!$C$46*'Systems Param+Perf'!$C$47)/(3600*'Systems Param+Perf'!$C$58)+('Systems Param+Perf'!$C$57/1000)*'Systems Param+Perf'!$C$60)/((((2)*M48-'Systems Param+Perf'!$C$66+'Systems Param+Perf'!$C$76+'Systems Param+Perf'!$C$83+'Systems Param+Perf'!$C$86)/'Systems Param+Perf'!$C$58)))*60))</f>
        <v>166.69929589611064</v>
      </c>
      <c r="D48" s="74">
        <f t="shared" si="0"/>
        <v>260.05090159793264</v>
      </c>
      <c r="F48" s="2">
        <f>0.5*('Aerodynamic Perf'!$B$24*A48^2*H48*'Aerodynamic Perf'!$B$14)</f>
        <v>6.621373741618191</v>
      </c>
      <c r="G48">
        <f t="shared" si="1"/>
        <v>0.67496164542489201</v>
      </c>
      <c r="H48" s="75">
        <f>('Aerodynamic Perf'!$B$21+'Aerodynamic Perf'!$B$29+'Aerodynamic Perf'!$B$2+'Aerodynamic Perf'!$B$28+'Aerodynamic Perf'!$B$5)+I48^2/(PI()*'Aerodynamic Perf'!$B$7*'Aerodynamic Perf'!$B$10)</f>
        <v>1.9192546473167534E-2</v>
      </c>
      <c r="I48" s="75">
        <f>('Aircraft W+B'!$C$61)/(0.5*'Aerodynamic Perf'!$B$24*A48^2*'Aerodynamic Perf'!$B$14)</f>
        <v>0.32372508458812399</v>
      </c>
      <c r="J48">
        <f>I48*0.5*'Aerodynamic Perf'!$B$24*A48^2*'Aerodynamic Perf'!$B$14</f>
        <v>111.68423000000001</v>
      </c>
      <c r="K48" s="76">
        <f t="shared" si="2"/>
        <v>16.867229423709528</v>
      </c>
      <c r="L48" s="76">
        <f>M48/'Systems Param+Perf'!$C$58</f>
        <v>3.3000258337536232</v>
      </c>
      <c r="M48" s="2">
        <f>('Systems Param+Perf'!$C$4*((G48)^2)+'Systems Param+Perf'!$C$5*((G48))+'Systems Param+Perf'!$C$6)</f>
        <v>73.260573509330442</v>
      </c>
    </row>
    <row r="49" spans="1:13" ht="15.75" customHeight="1" x14ac:dyDescent="0.25">
      <c r="A49" s="65">
        <f t="shared" si="3"/>
        <v>26.5</v>
      </c>
      <c r="C49" s="79">
        <f>((((('Aircraft W+B'!$C$44*'Systems Param+Perf'!$C$45*'Systems Param+Perf'!$C$46*'Systems Param+Perf'!$C$47)/(3600*'Systems Param+Perf'!$C$58)+('Systems Param+Perf'!$C$57/1000)*'Systems Param+Perf'!$C$60)/((((2)*M49-'Systems Param+Perf'!$C$66+'Systems Param+Perf'!$C$76+'Systems Param+Perf'!$C$83+'Systems Param+Perf'!$C$86)/'Systems Param+Perf'!$C$58)))*60))</f>
        <v>161.46402956629063</v>
      </c>
      <c r="D49" s="74">
        <f t="shared" si="0"/>
        <v>256.7278070104021</v>
      </c>
      <c r="F49" s="2">
        <f>0.5*('Aerodynamic Perf'!$B$24*A49^2*H49*'Aerodynamic Perf'!$B$14)</f>
        <v>6.7945501871278164</v>
      </c>
      <c r="G49">
        <f t="shared" si="1"/>
        <v>0.6926146979742932</v>
      </c>
      <c r="H49" s="75">
        <f>('Aerodynamic Perf'!$B$21+'Aerodynamic Perf'!$B$29+'Aerodynamic Perf'!$B$2+'Aerodynamic Perf'!$B$28+'Aerodynamic Perf'!$B$5)+I49^2/(PI()*'Aerodynamic Perf'!$B$7*'Aerodynamic Perf'!$B$10)</f>
        <v>1.895833344937467E-2</v>
      </c>
      <c r="I49" s="75">
        <f>('Aircraft W+B'!$C$61)/(0.5*'Aerodynamic Perf'!$B$24*A49^2*'Aerodynamic Perf'!$B$14)</f>
        <v>0.31162428932940095</v>
      </c>
      <c r="J49">
        <f>I49*0.5*'Aerodynamic Perf'!$B$24*A49^2*'Aerodynamic Perf'!$B$14</f>
        <v>111.68423000000001</v>
      </c>
      <c r="K49" s="76">
        <f t="shared" si="2"/>
        <v>16.437325050830335</v>
      </c>
      <c r="L49" s="76">
        <f>M49/'Systems Param+Perf'!$C$58</f>
        <v>3.4091427513321295</v>
      </c>
      <c r="M49" s="2">
        <f>('Systems Param+Perf'!$C$4*((G49)^2)+'Systems Param+Perf'!$C$5*((G49))+'Systems Param+Perf'!$C$6)</f>
        <v>75.682969079573283</v>
      </c>
    </row>
    <row r="50" spans="1:13" ht="15.75" customHeight="1" x14ac:dyDescent="0.25">
      <c r="A50" s="65">
        <f t="shared" si="3"/>
        <v>27</v>
      </c>
      <c r="C50" s="79">
        <f>((((('Aircraft W+B'!$C$44*'Systems Param+Perf'!$C$45*'Systems Param+Perf'!$C$46*'Systems Param+Perf'!$C$47)/(3600*'Systems Param+Perf'!$C$58)+('Systems Param+Perf'!$C$57/1000)*'Systems Param+Perf'!$C$60)/((((2)*M50-'Systems Param+Perf'!$C$66+'Systems Param+Perf'!$C$76+'Systems Param+Perf'!$C$83+'Systems Param+Perf'!$C$86)/'Systems Param+Perf'!$C$58)))*60))</f>
        <v>156.32691878570731</v>
      </c>
      <c r="D50" s="74">
        <f t="shared" si="0"/>
        <v>253.24960843284586</v>
      </c>
      <c r="F50" s="2">
        <f>0.5*('Aerodynamic Perf'!$B$24*A50^2*H50*'Aerodynamic Perf'!$B$14)</f>
        <v>6.9740754652573491</v>
      </c>
      <c r="G50">
        <f t="shared" si="1"/>
        <v>0.7109149301995259</v>
      </c>
      <c r="H50" s="75">
        <f>('Aerodynamic Perf'!$B$21+'Aerodynamic Perf'!$B$29+'Aerodynamic Perf'!$B$2+'Aerodynamic Perf'!$B$28+'Aerodynamic Perf'!$B$5)+I50^2/(PI()*'Aerodynamic Perf'!$B$7*'Aerodynamic Perf'!$B$10)</f>
        <v>1.8745209942631839E-2</v>
      </c>
      <c r="I50" s="75">
        <f>('Aircraft W+B'!$C$61)/(0.5*'Aerodynamic Perf'!$B$24*A50^2*'Aerodynamic Perf'!$B$14)</f>
        <v>0.30018951602410399</v>
      </c>
      <c r="J50">
        <f>I50*0.5*'Aerodynamic Perf'!$B$24*A50^2*'Aerodynamic Perf'!$B$14</f>
        <v>111.68423</v>
      </c>
      <c r="K50" s="76">
        <f t="shared" si="2"/>
        <v>16.014198664235241</v>
      </c>
      <c r="L50" s="76">
        <f>M50/'Systems Param+Perf'!$C$58</f>
        <v>3.5233180714209631</v>
      </c>
      <c r="M50" s="2">
        <f>('Systems Param+Perf'!$C$4*((G50)^2)+'Systems Param+Perf'!$C$5*((G50))+'Systems Param+Perf'!$C$6)</f>
        <v>78.217661185545396</v>
      </c>
    </row>
    <row r="51" spans="1:13" ht="15.75" customHeight="1" x14ac:dyDescent="0.25">
      <c r="A51" s="65">
        <f t="shared" si="3"/>
        <v>27.5</v>
      </c>
      <c r="C51" s="79">
        <f>((((('Aircraft W+B'!$C$44*'Systems Param+Perf'!$C$45*'Systems Param+Perf'!$C$46*'Systems Param+Perf'!$C$47)/(3600*'Systems Param+Perf'!$C$58)+('Systems Param+Perf'!$C$57/1000)*'Systems Param+Perf'!$C$60)/((((2)*M51-'Systems Param+Perf'!$C$66+'Systems Param+Perf'!$C$76+'Systems Param+Perf'!$C$83+'Systems Param+Perf'!$C$86)/'Systems Param+Perf'!$C$58)))*60))</f>
        <v>151.29955691881833</v>
      </c>
      <c r="D51" s="74">
        <f t="shared" si="0"/>
        <v>249.64426891605024</v>
      </c>
      <c r="F51" s="2">
        <f>0.5*('Aerodynamic Perf'!$B$24*A51^2*H51*'Aerodynamic Perf'!$B$14)</f>
        <v>7.1597862817265074</v>
      </c>
      <c r="G51">
        <f t="shared" si="1"/>
        <v>0.72984569640433306</v>
      </c>
      <c r="H51" s="75">
        <f>('Aerodynamic Perf'!$B$21+'Aerodynamic Perf'!$B$29+'Aerodynamic Perf'!$B$2+'Aerodynamic Perf'!$B$28+'Aerodynamic Perf'!$B$5)+I51^2/(PI()*'Aerodynamic Perf'!$B$7*'Aerodynamic Perf'!$B$10)</f>
        <v>1.8550937654417628E-2</v>
      </c>
      <c r="I51" s="75">
        <f>('Aircraft W+B'!$C$61)/(0.5*'Aerodynamic Perf'!$B$24*A51^2*'Aerodynamic Perf'!$B$14)</f>
        <v>0.28937276982687182</v>
      </c>
      <c r="J51">
        <f>I51*0.5*'Aerodynamic Perf'!$B$24*A51^2*'Aerodynamic Perf'!$B$14</f>
        <v>111.68423000000001</v>
      </c>
      <c r="K51" s="76">
        <f t="shared" si="2"/>
        <v>15.598821753247714</v>
      </c>
      <c r="L51" s="76">
        <f>M51/'Systems Param+Perf'!$C$58</f>
        <v>3.6425607117176755</v>
      </c>
      <c r="M51" s="2">
        <f>('Systems Param+Perf'!$C$4*((G51)^2)+'Systems Param+Perf'!$C$5*((G51))+'Systems Param+Perf'!$C$6)</f>
        <v>80.864847800132409</v>
      </c>
    </row>
    <row r="52" spans="1:13" ht="15.75" customHeight="1" x14ac:dyDescent="0.25">
      <c r="A52" s="65">
        <f t="shared" si="3"/>
        <v>28</v>
      </c>
      <c r="C52" s="79">
        <f>((((('Aircraft W+B'!$C$44*'Systems Param+Perf'!$C$45*'Systems Param+Perf'!$C$46*'Systems Param+Perf'!$C$47)/(3600*'Systems Param+Perf'!$C$58)+('Systems Param+Perf'!$C$57/1000)*'Systems Param+Perf'!$C$60)/((((2)*M52-'Systems Param+Perf'!$C$66+'Systems Param+Perf'!$C$76+'Systems Param+Perf'!$C$83+'Systems Param+Perf'!$C$86)/'Systems Param+Perf'!$C$58)))*60))</f>
        <v>146.39094762735343</v>
      </c>
      <c r="D52" s="74">
        <f t="shared" si="0"/>
        <v>245.93679201395375</v>
      </c>
      <c r="F52" s="2">
        <f>0.5*('Aerodynamic Perf'!$B$24*A52^2*H52*'Aerodynamic Perf'!$B$14)</f>
        <v>7.3515337907073253</v>
      </c>
      <c r="G52">
        <f t="shared" si="1"/>
        <v>0.74939182372143986</v>
      </c>
      <c r="H52" s="75">
        <f>('Aerodynamic Perf'!$B$21+'Aerodynamic Perf'!$B$29+'Aerodynamic Perf'!$B$2+'Aerodynamic Perf'!$B$28+'Aerodynamic Perf'!$B$5)+I52^2/(PI()*'Aerodynamic Perf'!$B$7*'Aerodynamic Perf'!$B$10)</f>
        <v>1.8373550599233079E-2</v>
      </c>
      <c r="I52" s="75">
        <f>('Aircraft W+B'!$C$61)/(0.5*'Aerodynamic Perf'!$B$24*A52^2*'Aerodynamic Perf'!$B$14)</f>
        <v>0.27913030252751508</v>
      </c>
      <c r="J52">
        <f>I52*0.5*'Aerodynamic Perf'!$B$24*A52^2*'Aerodynamic Perf'!$B$14</f>
        <v>111.68423000000001</v>
      </c>
      <c r="K52" s="76">
        <f t="shared" si="2"/>
        <v>15.191963089549285</v>
      </c>
      <c r="L52" s="76">
        <f>M52/'Systems Param+Perf'!$C$58</f>
        <v>3.7668888550412953</v>
      </c>
      <c r="M52" s="2">
        <f>('Systems Param+Perf'!$C$4*((G52)^2)+'Systems Param+Perf'!$C$5*((G52))+'Systems Param+Perf'!$C$6)</f>
        <v>83.624932581916767</v>
      </c>
    </row>
    <row r="53" spans="1:13" ht="15.75" customHeight="1" x14ac:dyDescent="0.25">
      <c r="A53" s="65">
        <f t="shared" si="3"/>
        <v>28.5</v>
      </c>
      <c r="C53" s="79">
        <f>((((('Aircraft W+B'!$C$44*'Systems Param+Perf'!$C$45*'Systems Param+Perf'!$C$46*'Systems Param+Perf'!$C$47)/(3600*'Systems Param+Perf'!$C$58)+('Systems Param+Perf'!$C$57/1000)*'Systems Param+Perf'!$C$60)/((((2)*M53-'Systems Param+Perf'!$C$66+'Systems Param+Perf'!$C$76+'Systems Param+Perf'!$C$83+'Systems Param+Perf'!$C$86)/'Systems Param+Perf'!$C$58)))*60))</f>
        <v>141.60786305401632</v>
      </c>
      <c r="D53" s="74">
        <f t="shared" si="0"/>
        <v>242.14944582236788</v>
      </c>
      <c r="F53" s="2">
        <f>0.5*('Aerodynamic Perf'!$B$24*A53^2*H53*'Aerodynamic Perf'!$B$14)</f>
        <v>7.549182087440335</v>
      </c>
      <c r="G53">
        <f t="shared" si="1"/>
        <v>0.7695394584546722</v>
      </c>
      <c r="H53" s="75">
        <f>('Aerodynamic Perf'!$B$21+'Aerodynamic Perf'!$B$29+'Aerodynamic Perf'!$B$2+'Aerodynamic Perf'!$B$28+'Aerodynamic Perf'!$B$5)+I53^2/(PI()*'Aerodynamic Perf'!$B$7*'Aerodynamic Perf'!$B$10)</f>
        <v>1.8211317891496534E-2</v>
      </c>
      <c r="I53" s="75">
        <f>('Aircraft W+B'!$C$61)/(0.5*'Aerodynamic Perf'!$B$24*A53^2*'Aerodynamic Perf'!$B$14)</f>
        <v>0.26942216950639808</v>
      </c>
      <c r="J53">
        <f>I53*0.5*'Aerodynamic Perf'!$B$24*A53^2*'Aerodynamic Perf'!$B$14</f>
        <v>111.68423000000001</v>
      </c>
      <c r="K53" s="76">
        <f t="shared" si="2"/>
        <v>14.794215943712684</v>
      </c>
      <c r="L53" s="76">
        <f>M53/'Systems Param+Perf'!$C$58</f>
        <v>3.8963291011815748</v>
      </c>
      <c r="M53" s="2">
        <f>('Systems Param+Perf'!$C$4*((G53)^2)+'Systems Param+Perf'!$C$5*((G53))+'Systems Param+Perf'!$C$6)</f>
        <v>86.498506046230972</v>
      </c>
    </row>
    <row r="54" spans="1:13" ht="15.75" customHeight="1" x14ac:dyDescent="0.25">
      <c r="A54" s="65">
        <f t="shared" si="3"/>
        <v>29</v>
      </c>
      <c r="C54" s="79">
        <f>((((('Aircraft W+B'!$C$44*'Systems Param+Perf'!$C$45*'Systems Param+Perf'!$C$46*'Systems Param+Perf'!$C$47)/(3600*'Systems Param+Perf'!$C$58)+('Systems Param+Perf'!$C$57/1000)*'Systems Param+Perf'!$C$60)/((((2)*M54-'Systems Param+Perf'!$C$66+'Systems Param+Perf'!$C$76+'Systems Param+Perf'!$C$83+'Systems Param+Perf'!$C$86)/'Systems Param+Perf'!$C$58)))*60))</f>
        <v>136.95516539817973</v>
      </c>
      <c r="D54" s="74">
        <f t="shared" si="0"/>
        <v>238.3019877928327</v>
      </c>
      <c r="F54" s="2">
        <f>0.5*('Aerodynamic Perf'!$B$24*A54^2*H54*'Aerodynamic Perf'!$B$14)</f>
        <v>7.7526068811841062</v>
      </c>
      <c r="G54">
        <f t="shared" si="1"/>
        <v>0.79027593080368053</v>
      </c>
      <c r="H54" s="75">
        <f>('Aerodynamic Perf'!$B$21+'Aerodynamic Perf'!$B$29+'Aerodynamic Perf'!$B$2+'Aerodynamic Perf'!$B$28+'Aerodynamic Perf'!$B$5)+I54^2/(PI()*'Aerodynamic Perf'!$B$7*'Aerodynamic Perf'!$B$10)</f>
        <v>1.8062712157010025E-2</v>
      </c>
      <c r="I54" s="75">
        <f>('Aircraft W+B'!$C$61)/(0.5*'Aerodynamic Perf'!$B$24*A54^2*'Aerodynamic Perf'!$B$14)</f>
        <v>0.26021183969271322</v>
      </c>
      <c r="J54">
        <f>I54*0.5*'Aerodynamic Perf'!$B$24*A54^2*'Aerodynamic Perf'!$B$14</f>
        <v>111.68423</v>
      </c>
      <c r="K54" s="76">
        <f t="shared" si="2"/>
        <v>14.406022607835594</v>
      </c>
      <c r="L54" s="76">
        <f>M54/'Systems Param+Perf'!$C$58</f>
        <v>4.0309157276611494</v>
      </c>
      <c r="M54" s="2">
        <f>('Systems Param+Perf'!$C$4*((G54)^2)+'Systems Param+Perf'!$C$5*((G54))+'Systems Param+Perf'!$C$6)</f>
        <v>89.486329154077524</v>
      </c>
    </row>
    <row r="55" spans="1:13" ht="15.75" customHeight="1" x14ac:dyDescent="0.25">
      <c r="A55" s="65">
        <f t="shared" si="3"/>
        <v>29.5</v>
      </c>
      <c r="C55" s="79">
        <f>((((('Aircraft W+B'!$C$44*'Systems Param+Perf'!$C$45*'Systems Param+Perf'!$C$46*'Systems Param+Perf'!$C$47)/(3600*'Systems Param+Perf'!$C$58)+('Systems Param+Perf'!$C$57/1000)*'Systems Param+Perf'!$C$60)/((((2)*M55-'Systems Param+Perf'!$C$66+'Systems Param+Perf'!$C$76+'Systems Param+Perf'!$C$83+'Systems Param+Perf'!$C$86)/'Systems Param+Perf'!$C$58)))*60))</f>
        <v>132.43609307756719</v>
      </c>
      <c r="D55" s="74">
        <f t="shared" si="0"/>
        <v>234.41188474729393</v>
      </c>
      <c r="F55" s="2">
        <f>0.5*('Aerodynamic Perf'!$B$24*A55^2*H55*'Aerodynamic Perf'!$B$14)</f>
        <v>7.9616943242570581</v>
      </c>
      <c r="G55">
        <f t="shared" si="1"/>
        <v>0.81158963550020979</v>
      </c>
      <c r="H55" s="75">
        <f>('Aerodynamic Perf'!$B$21+'Aerodynamic Perf'!$B$29+'Aerodynamic Perf'!$B$2+'Aerodynamic Perf'!$B$28+'Aerodynamic Perf'!$B$5)+I55^2/(PI()*'Aerodynamic Perf'!$B$7*'Aerodynamic Perf'!$B$10)</f>
        <v>1.7926382640077763E-2</v>
      </c>
      <c r="I55" s="75">
        <f>('Aircraft W+B'!$C$61)/(0.5*'Aerodynamic Perf'!$B$24*A55^2*'Aerodynamic Perf'!$B$14)</f>
        <v>0.25146585140082944</v>
      </c>
      <c r="J55">
        <f>I55*0.5*'Aerodynamic Perf'!$B$24*A55^2*'Aerodynamic Perf'!$B$14</f>
        <v>111.68423000000001</v>
      </c>
      <c r="K55" s="76">
        <f t="shared" si="2"/>
        <v>14.02769629822755</v>
      </c>
      <c r="L55" s="76">
        <f>M55/'Systems Param+Perf'!$C$58</f>
        <v>4.1706900436726215</v>
      </c>
      <c r="M55" s="2">
        <f>('Systems Param+Perf'!$C$4*((G55)^2)+'Systems Param+Perf'!$C$5*((G55))+'Systems Param+Perf'!$C$6)</f>
        <v>92.589318969532215</v>
      </c>
    </row>
    <row r="56" spans="1:13" ht="15.75" customHeight="1" x14ac:dyDescent="0.25">
      <c r="A56" s="65">
        <f t="shared" si="3"/>
        <v>30</v>
      </c>
      <c r="C56" s="79">
        <f>((((('Aircraft W+B'!$C$44*'Systems Param+Perf'!$C$45*'Systems Param+Perf'!$C$46*'Systems Param+Perf'!$C$47)/(3600*'Systems Param+Perf'!$C$58)+('Systems Param+Perf'!$C$57/1000)*'Systems Param+Perf'!$C$60)/((((2)*M56-'Systems Param+Perf'!$C$66+'Systems Param+Perf'!$C$76+'Systems Param+Perf'!$C$83+'Systems Param+Perf'!$C$86)/'Systems Param+Perf'!$C$58)))*60))</f>
        <v>128.05251343904158</v>
      </c>
      <c r="D56" s="74">
        <f t="shared" si="0"/>
        <v>230.49452419027483</v>
      </c>
      <c r="F56" s="2">
        <f>0.5*('Aerodynamic Perf'!$B$24*A56^2*H56*'Aerodynamic Perf'!$B$14)</f>
        <v>8.1763399765358713</v>
      </c>
      <c r="G56">
        <f t="shared" si="1"/>
        <v>0.83346992625238236</v>
      </c>
      <c r="H56" s="75">
        <f>('Aerodynamic Perf'!$B$21+'Aerodynamic Perf'!$B$29+'Aerodynamic Perf'!$B$2+'Aerodynamic Perf'!$B$28+'Aerodynamic Perf'!$B$5)+I56^2/(PI()*'Aerodynamic Perf'!$B$7*'Aerodynamic Perf'!$B$10)</f>
        <v>1.7801132243360749E-2</v>
      </c>
      <c r="I56" s="75">
        <f>('Aircraft W+B'!$C$61)/(0.5*'Aerodynamic Perf'!$B$24*A56^2*'Aerodynamic Perf'!$B$14)</f>
        <v>0.24315350797952426</v>
      </c>
      <c r="J56">
        <f>I56*0.5*'Aerodynamic Perf'!$B$24*A56^2*'Aerodynamic Perf'!$B$14</f>
        <v>111.68423000000001</v>
      </c>
      <c r="K56" s="76">
        <f t="shared" si="2"/>
        <v>13.659440571271118</v>
      </c>
      <c r="L56" s="76">
        <f>M56/'Systems Param+Perf'!$C$58</f>
        <v>4.315699823970176</v>
      </c>
      <c r="M56" s="2">
        <f>('Systems Param+Perf'!$C$4*((G56)^2)+'Systems Param+Perf'!$C$5*((G56))+'Systems Param+Perf'!$C$6)</f>
        <v>95.808536092137913</v>
      </c>
    </row>
    <row r="57" spans="1:13" ht="15.75" customHeight="1" x14ac:dyDescent="0.25">
      <c r="A57" s="65">
        <f t="shared" si="3"/>
        <v>30.5</v>
      </c>
      <c r="C57" s="79">
        <f>((((('Aircraft W+B'!$C$44*'Systems Param+Perf'!$C$45*'Systems Param+Perf'!$C$46*'Systems Param+Perf'!$C$47)/(3600*'Systems Param+Perf'!$C$58)+('Systems Param+Perf'!$C$57/1000)*'Systems Param+Perf'!$C$60)/((((2)*M57-'Systems Param+Perf'!$C$66+'Systems Param+Perf'!$C$76+'Systems Param+Perf'!$C$83+'Systems Param+Perf'!$C$86)/'Systems Param+Perf'!$C$58)))*60))</f>
        <v>123.80514444389227</v>
      </c>
      <c r="D57" s="74">
        <f t="shared" si="0"/>
        <v>226.56341433232285</v>
      </c>
      <c r="F57" s="2">
        <f>0.5*('Aerodynamic Perf'!$B$24*A57^2*H57*'Aerodynamic Perf'!$B$14)</f>
        <v>8.3964478877938049</v>
      </c>
      <c r="G57">
        <f t="shared" si="1"/>
        <v>0.85590702220120329</v>
      </c>
      <c r="H57" s="75">
        <f>('Aerodynamic Perf'!$B$21+'Aerodynamic Perf'!$B$29+'Aerodynamic Perf'!$B$2+'Aerodynamic Perf'!$B$28+'Aerodynamic Perf'!$B$5)+I57^2/(PI()*'Aerodynamic Perf'!$B$7*'Aerodynamic Perf'!$B$10)</f>
        <v>1.7685897871711462E-2</v>
      </c>
      <c r="I57" s="75">
        <f>('Aircraft W+B'!$C$61)/(0.5*'Aerodynamic Perf'!$B$24*A57^2*'Aerodynamic Perf'!$B$14)</f>
        <v>0.23524660809628789</v>
      </c>
      <c r="J57">
        <f>I57*0.5*'Aerodynamic Perf'!$B$24*A57^2*'Aerodynamic Perf'!$B$14</f>
        <v>111.68423</v>
      </c>
      <c r="K57" s="76">
        <f t="shared" si="2"/>
        <v>13.301366422146092</v>
      </c>
      <c r="L57" s="76">
        <f>M57/'Systems Param+Perf'!$C$58</f>
        <v>4.4659988115725353</v>
      </c>
      <c r="M57" s="2">
        <f>('Systems Param+Perf'!$C$4*((G57)^2)+'Systems Param+Perf'!$C$5*((G57))+'Systems Param+Perf'!$C$6)</f>
        <v>99.145173616910299</v>
      </c>
    </row>
    <row r="58" spans="1:13" ht="15.75" customHeight="1" x14ac:dyDescent="0.25">
      <c r="A58" s="65">
        <f t="shared" si="3"/>
        <v>31</v>
      </c>
      <c r="C58" s="79">
        <f>((((('Aircraft W+B'!$C$44*'Systems Param+Perf'!$C$45*'Systems Param+Perf'!$C$46*'Systems Param+Perf'!$C$47)/(3600*'Systems Param+Perf'!$C$58)+('Systems Param+Perf'!$C$57/1000)*'Systems Param+Perf'!$C$60)/((((2)*M58-'Systems Param+Perf'!$C$66+'Systems Param+Perf'!$C$76+'Systems Param+Perf'!$C$83+'Systems Param+Perf'!$C$86)/'Systems Param+Perf'!$C$58)))*60))</f>
        <v>119.69374798763471</v>
      </c>
      <c r="D58" s="74">
        <f t="shared" si="0"/>
        <v>222.63037125700058</v>
      </c>
      <c r="F58" s="2">
        <f>0.5*('Aerodynamic Perf'!$B$24*A58^2*H58*'Aerodynamic Perf'!$B$14)</f>
        <v>8.6219297827985244</v>
      </c>
      <c r="G58">
        <f t="shared" si="1"/>
        <v>0.87889192485204115</v>
      </c>
      <c r="H58" s="75">
        <f>('Aerodynamic Perf'!$B$21+'Aerodynamic Perf'!$B$29+'Aerodynamic Perf'!$B$2+'Aerodynamic Perf'!$B$28+'Aerodynamic Perf'!$B$5)+I58^2/(PI()*'Aerodynamic Perf'!$B$7*'Aerodynamic Perf'!$B$10)</f>
        <v>1.7579733560062205E-2</v>
      </c>
      <c r="I58" s="75">
        <f>('Aircraft W+B'!$C$61)/(0.5*'Aerodynamic Perf'!$B$24*A58^2*'Aerodynamic Perf'!$B$14)</f>
        <v>0.22771920622432029</v>
      </c>
      <c r="J58">
        <f>I58*0.5*'Aerodynamic Perf'!$B$24*A58^2*'Aerodynamic Perf'!$B$14</f>
        <v>111.68423</v>
      </c>
      <c r="K58" s="76">
        <f t="shared" si="2"/>
        <v>12.953507255744467</v>
      </c>
      <c r="L58" s="76">
        <f>M58/'Systems Param+Perf'!$C$58</f>
        <v>4.6216462798546809</v>
      </c>
      <c r="M58" s="2">
        <f>('Systems Param+Perf'!$C$4*((G58)^2)+'Systems Param+Perf'!$C$5*((G58))+'Systems Param+Perf'!$C$6)</f>
        <v>102.60054741277393</v>
      </c>
    </row>
    <row r="59" spans="1:13" ht="15.75" customHeight="1" x14ac:dyDescent="0.25">
      <c r="A59" s="65">
        <f t="shared" si="3"/>
        <v>31.5</v>
      </c>
      <c r="C59" s="79">
        <f>((((('Aircraft W+B'!$C$44*'Systems Param+Perf'!$C$45*'Systems Param+Perf'!$C$46*'Systems Param+Perf'!$C$47)/(3600*'Systems Param+Perf'!$C$58)+('Systems Param+Perf'!$C$57/1000)*'Systems Param+Perf'!$C$60)/((((2)*M59-'Systems Param+Perf'!$C$66+'Systems Param+Perf'!$C$76+'Systems Param+Perf'!$C$83+'Systems Param+Perf'!$C$86)/'Systems Param+Perf'!$C$58)))*60))</f>
        <v>115.71729758494472</v>
      </c>
      <c r="D59" s="74">
        <f t="shared" si="0"/>
        <v>218.70569243554553</v>
      </c>
      <c r="F59" s="2">
        <f>0.5*('Aerodynamic Perf'!$B$24*A59^2*H59*'Aerodynamic Perf'!$B$14)</f>
        <v>8.8527043362259388</v>
      </c>
      <c r="G59">
        <f t="shared" si="1"/>
        <v>0.9024163441616655</v>
      </c>
      <c r="H59" s="75">
        <f>('Aerodynamic Perf'!$B$21+'Aerodynamic Perf'!$B$29+'Aerodynamic Perf'!$B$2+'Aerodynamic Perf'!$B$28+'Aerodynamic Perf'!$B$5)+I59^2/(PI()*'Aerodynamic Perf'!$B$7*'Aerodynamic Perf'!$B$10)</f>
        <v>1.7481795954040341E-2</v>
      </c>
      <c r="I59" s="75">
        <f>('Aircraft W+B'!$C$61)/(0.5*'Aerodynamic Perf'!$B$24*A59^2*'Aerodynamic Perf'!$B$14)</f>
        <v>0.22054739952791313</v>
      </c>
      <c r="J59">
        <f>I59*0.5*'Aerodynamic Perf'!$B$24*A59^2*'Aerodynamic Perf'!$B$14</f>
        <v>111.68423000000001</v>
      </c>
      <c r="K59" s="76">
        <f t="shared" si="2"/>
        <v>12.615831926406901</v>
      </c>
      <c r="L59" s="76">
        <f>M59/'Systems Param+Perf'!$C$58</f>
        <v>4.7827066460356749</v>
      </c>
      <c r="M59" s="2">
        <f>('Systems Param+Perf'!$C$4*((G59)^2)+'Systems Param+Perf'!$C$5*((G59))+'Systems Param+Perf'!$C$6)</f>
        <v>106.176087541992</v>
      </c>
    </row>
    <row r="60" spans="1:13" ht="15.75" customHeight="1" x14ac:dyDescent="0.25">
      <c r="A60" s="65">
        <f t="shared" si="3"/>
        <v>32</v>
      </c>
      <c r="C60" s="79">
        <f>((((('Aircraft W+B'!$C$44*'Systems Param+Perf'!$C$45*'Systems Param+Perf'!$C$46*'Systems Param+Perf'!$C$47)/(3600*'Systems Param+Perf'!$C$58)+('Systems Param+Perf'!$C$57/1000)*'Systems Param+Perf'!$C$60)/((((2)*M60-'Systems Param+Perf'!$C$66+'Systems Param+Perf'!$C$76+'Systems Param+Perf'!$C$83+'Systems Param+Perf'!$C$86)/'Systems Param+Perf'!$C$58)))*60))</f>
        <v>111.87412310686425</v>
      </c>
      <c r="D60" s="74">
        <f t="shared" si="0"/>
        <v>214.79831636517935</v>
      </c>
      <c r="F60" s="2">
        <f>0.5*('Aerodynamic Perf'!$B$24*A60^2*H60*'Aerodynamic Perf'!$B$14)</f>
        <v>9.0886965262522317</v>
      </c>
      <c r="G60">
        <f t="shared" si="1"/>
        <v>0.9264726326454874</v>
      </c>
      <c r="H60" s="75">
        <f>('Aerodynamic Perf'!$B$21+'Aerodynamic Perf'!$B$29+'Aerodynamic Perf'!$B$2+'Aerodynamic Perf'!$B$28+'Aerodynamic Perf'!$B$5)+I60^2/(PI()*'Aerodynamic Perf'!$B$7*'Aerodynamic Perf'!$B$10)</f>
        <v>1.7391331784364899E-2</v>
      </c>
      <c r="I60" s="75">
        <f>('Aircraft W+B'!$C$61)/(0.5*'Aerodynamic Perf'!$B$24*A60^2*'Aerodynamic Perf'!$B$14)</f>
        <v>0.21370913787262874</v>
      </c>
      <c r="J60">
        <f>I60*0.5*'Aerodynamic Perf'!$B$24*A60^2*'Aerodynamic Perf'!$B$14</f>
        <v>111.68423000000001</v>
      </c>
      <c r="K60" s="76">
        <f t="shared" si="2"/>
        <v>12.288256041711358</v>
      </c>
      <c r="L60" s="76">
        <f>M60/'Systems Param+Perf'!$C$58</f>
        <v>4.9492491292624736</v>
      </c>
      <c r="M60" s="2">
        <f>('Systems Param+Perf'!$C$4*((G60)^2)+'Systems Param+Perf'!$C$5*((G60))+'Systems Param+Perf'!$C$6)</f>
        <v>109.87333066962694</v>
      </c>
    </row>
    <row r="61" spans="1:13" ht="15.75" customHeight="1" x14ac:dyDescent="0.25">
      <c r="A61" s="65">
        <f t="shared" si="3"/>
        <v>32.5</v>
      </c>
      <c r="C61" s="79">
        <f>((((('Aircraft W+B'!$C$44*'Systems Param+Perf'!$C$45*'Systems Param+Perf'!$C$46*'Systems Param+Perf'!$C$47)/(3600*'Systems Param+Perf'!$C$58)+('Systems Param+Perf'!$C$57/1000)*'Systems Param+Perf'!$C$60)/((((2)*M61-'Systems Param+Perf'!$C$66+'Systems Param+Perf'!$C$76+'Systems Param+Perf'!$C$83+'Systems Param+Perf'!$C$86)/'Systems Param+Perf'!$C$58)))*60))</f>
        <v>108.16203513814973</v>
      </c>
      <c r="D61" s="74">
        <f t="shared" si="0"/>
        <v>210.91596851939195</v>
      </c>
      <c r="F61" s="2">
        <f>0.5*('Aerodynamic Perf'!$B$24*A61^2*H61*'Aerodynamic Perf'!$B$14)</f>
        <v>9.3298370572162863</v>
      </c>
      <c r="G61">
        <f t="shared" si="1"/>
        <v>0.95105372652561526</v>
      </c>
      <c r="H61" s="75">
        <f>('Aerodynamic Perf'!$B$21+'Aerodynamic Perf'!$B$29+'Aerodynamic Perf'!$B$2+'Aerodynamic Perf'!$B$28+'Aerodynamic Perf'!$B$5)+I61^2/(PI()*'Aerodynamic Perf'!$B$7*'Aerodynamic Perf'!$B$10)</f>
        <v>1.7307667035409421E-2</v>
      </c>
      <c r="I61" s="75">
        <f>('Aircraft W+B'!$C$61)/(0.5*'Aerodynamic Perf'!$B$24*A61^2*'Aerodynamic Perf'!$B$14)</f>
        <v>0.20718405413639937</v>
      </c>
      <c r="J61">
        <f>I61*0.5*'Aerodynamic Perf'!$B$24*A61^2*'Aerodynamic Perf'!$B$14</f>
        <v>111.68423000000001</v>
      </c>
      <c r="K61" s="76">
        <f t="shared" si="2"/>
        <v>11.970651718254432</v>
      </c>
      <c r="L61" s="76">
        <f>M61/'Systems Param+Perf'!$C$58</f>
        <v>5.1213474474873992</v>
      </c>
      <c r="M61" s="2">
        <f>('Systems Param+Perf'!$C$4*((G61)^2)+'Systems Param+Perf'!$C$5*((G61))+'Systems Param+Perf'!$C$6)</f>
        <v>113.69391333422027</v>
      </c>
    </row>
    <row r="62" spans="1:13" ht="15.75" customHeight="1" x14ac:dyDescent="0.25">
      <c r="A62" s="65">
        <f t="shared" si="3"/>
        <v>33</v>
      </c>
      <c r="C62" s="79">
        <f>((((('Aircraft W+B'!$C$44*'Systems Param+Perf'!$C$45*'Systems Param+Perf'!$C$46*'Systems Param+Perf'!$C$47)/(3600*'Systems Param+Perf'!$C$58)+('Systems Param+Perf'!$C$57/1000)*'Systems Param+Perf'!$C$60)/((((2)*M62-'Systems Param+Perf'!$C$66+'Systems Param+Perf'!$C$76+'Systems Param+Perf'!$C$83+'Systems Param+Perf'!$C$86)/'Systems Param+Perf'!$C$58)))*60))</f>
        <v>104.57843135638311</v>
      </c>
      <c r="D62" s="74">
        <f t="shared" si="0"/>
        <v>207.06529408563853</v>
      </c>
      <c r="F62" s="2">
        <f>0.5*('Aerodynamic Perf'!$B$24*A62^2*H62*'Aerodynamic Perf'!$B$14)</f>
        <v>9.5760618430448421</v>
      </c>
      <c r="G62">
        <f t="shared" si="1"/>
        <v>0.97615309307286868</v>
      </c>
      <c r="H62" s="75">
        <f>('Aerodynamic Perf'!$B$21+'Aerodynamic Perf'!$B$29+'Aerodynamic Perf'!$B$2+'Aerodynamic Perf'!$B$28+'Aerodynamic Perf'!$B$5)+I62^2/(PI()*'Aerodynamic Perf'!$B$7*'Aerodynamic Perf'!$B$10)</f>
        <v>1.7230197557107266E-2</v>
      </c>
      <c r="I62" s="75">
        <f>('Aircraft W+B'!$C$61)/(0.5*'Aerodynamic Perf'!$B$24*A62^2*'Aerodynamic Perf'!$B$14)</f>
        <v>0.20095331237977213</v>
      </c>
      <c r="J62">
        <f>I62*0.5*'Aerodynamic Perf'!$B$24*A62^2*'Aerodynamic Perf'!$B$14</f>
        <v>111.68423000000001</v>
      </c>
      <c r="K62" s="76">
        <f t="shared" si="2"/>
        <v>11.6628559663195</v>
      </c>
      <c r="L62" s="76">
        <f>M62/'Systems Param+Perf'!$C$58</f>
        <v>5.2990795481744639</v>
      </c>
      <c r="M62" s="2">
        <f>('Systems Param+Perf'!$C$4*((G62)^2)+'Systems Param+Perf'!$C$5*((G62))+'Systems Param+Perf'!$C$6)</f>
        <v>117.63956596947311</v>
      </c>
    </row>
    <row r="63" spans="1:13" ht="15.75" customHeight="1" x14ac:dyDescent="0.25">
      <c r="A63" s="65">
        <f t="shared" si="3"/>
        <v>33.5</v>
      </c>
      <c r="C63" s="79">
        <f>((((('Aircraft W+B'!$C$44*'Systems Param+Perf'!$C$45*'Systems Param+Perf'!$C$46*'Systems Param+Perf'!$C$47)/(3600*'Systems Param+Perf'!$C$58)+('Systems Param+Perf'!$C$57/1000)*'Systems Param+Perf'!$C$60)/((((2)*M63-'Systems Param+Perf'!$C$66+'Systems Param+Perf'!$C$76+'Systems Param+Perf'!$C$83+'Systems Param+Perf'!$C$86)/'Systems Param+Perf'!$C$58)))*60))</f>
        <v>101.12038714238167</v>
      </c>
      <c r="D63" s="74">
        <f t="shared" si="0"/>
        <v>203.25197815618714</v>
      </c>
      <c r="F63" s="2">
        <f>0.5*('Aerodynamic Perf'!$B$24*A63^2*H63*'Aerodynamic Perf'!$B$14)</f>
        <v>9.827311544240068</v>
      </c>
      <c r="G63">
        <f t="shared" si="1"/>
        <v>1.0017646834087734</v>
      </c>
      <c r="H63" s="75">
        <f>('Aerodynamic Perf'!$B$21+'Aerodynamic Perf'!$B$29+'Aerodynamic Perf'!$B$2+'Aerodynamic Perf'!$B$28+'Aerodynamic Perf'!$B$5)+I63^2/(PI()*'Aerodynamic Perf'!$B$7*'Aerodynamic Perf'!$B$10)</f>
        <v>1.7158380909625591E-2</v>
      </c>
      <c r="I63" s="75">
        <f>('Aircraft W+B'!$C$61)/(0.5*'Aerodynamic Perf'!$B$24*A63^2*'Aerodynamic Perf'!$B$14)</f>
        <v>0.19499947175903035</v>
      </c>
      <c r="J63">
        <f>I63*0.5*'Aerodynamic Perf'!$B$24*A63^2*'Aerodynamic Perf'!$B$14</f>
        <v>111.68423</v>
      </c>
      <c r="K63" s="76">
        <f t="shared" si="2"/>
        <v>11.364677867107998</v>
      </c>
      <c r="L63" s="76">
        <f>M63/'Systems Param+Perf'!$C$58</f>
        <v>5.4825273685748162</v>
      </c>
      <c r="M63" s="2">
        <f>('Systems Param+Perf'!$C$4*((G63)^2)+'Systems Param+Perf'!$C$5*((G63))+'Systems Param+Perf'!$C$6)</f>
        <v>121.71210758236094</v>
      </c>
    </row>
    <row r="64" spans="1:13" ht="15.75" customHeight="1" x14ac:dyDescent="0.25">
      <c r="A64" s="65">
        <f t="shared" si="3"/>
        <v>34</v>
      </c>
      <c r="C64" s="79">
        <f>((((('Aircraft W+B'!$C$44*'Systems Param+Perf'!$C$45*'Systems Param+Perf'!$C$46*'Systems Param+Perf'!$C$47)/(3600*'Systems Param+Perf'!$C$58)+('Systems Param+Perf'!$C$57/1000)*'Systems Param+Perf'!$C$60)/((((2)*M64-'Systems Param+Perf'!$C$66+'Systems Param+Perf'!$C$76+'Systems Param+Perf'!$C$83+'Systems Param+Perf'!$C$86)/'Systems Param+Perf'!$C$58)))*60))</f>
        <v>97.78473242867581</v>
      </c>
      <c r="D64" s="74">
        <f t="shared" si="0"/>
        <v>199.48085415449864</v>
      </c>
      <c r="F64" s="2">
        <f>0.5*('Aerodynamic Perf'!$B$24*A64^2*H64*'Aerodynamic Perf'!$B$14)</f>
        <v>10.08353115217521</v>
      </c>
      <c r="G64">
        <f t="shared" si="1"/>
        <v>1.0278828901299908</v>
      </c>
      <c r="H64" s="75">
        <f>('Aerodynamic Perf'!$B$21+'Aerodynamic Perf'!$B$29+'Aerodynamic Perf'!$B$2+'Aerodynamic Perf'!$B$28+'Aerodynamic Perf'!$B$5)+I64^2/(PI()*'Aerodynamic Perf'!$B$7*'Aerodynamic Perf'!$B$10)</f>
        <v>1.7091729263540162E-2</v>
      </c>
      <c r="I64" s="75">
        <f>('Aircraft W+B'!$C$61)/(0.5*'Aerodynamic Perf'!$B$24*A64^2*'Aerodynamic Perf'!$B$14)</f>
        <v>0.18930636434392023</v>
      </c>
      <c r="J64">
        <f>I64*0.5*'Aerodynamic Perf'!$B$24*A64^2*'Aerodynamic Perf'!$B$14</f>
        <v>111.68423</v>
      </c>
      <c r="K64" s="76">
        <f t="shared" si="2"/>
        <v>11.075904691969695</v>
      </c>
      <c r="L64" s="76">
        <f>M64/'Systems Param+Perf'!$C$58</f>
        <v>5.6717766219070258</v>
      </c>
      <c r="M64" s="2">
        <f>('Systems Param+Perf'!$C$4*((G64)^2)+'Systems Param+Perf'!$C$5*((G64))+'Systems Param+Perf'!$C$6)</f>
        <v>125.91344100633599</v>
      </c>
    </row>
    <row r="65" spans="1:13" ht="15.75" customHeight="1" x14ac:dyDescent="0.25">
      <c r="A65" s="65">
        <f t="shared" si="3"/>
        <v>34.5</v>
      </c>
      <c r="C65" s="79">
        <f>((((('Aircraft W+B'!$C$44*'Systems Param+Perf'!$C$45*'Systems Param+Perf'!$C$46*'Systems Param+Perf'!$C$47)/(3600*'Systems Param+Perf'!$C$58)+('Systems Param+Perf'!$C$57/1000)*'Systems Param+Perf'!$C$60)/((((2)*M65-'Systems Param+Perf'!$C$66+'Systems Param+Perf'!$C$76+'Systems Param+Perf'!$C$83+'Systems Param+Perf'!$C$86)/'Systems Param+Perf'!$C$58)))*60))</f>
        <v>94.568116589908385</v>
      </c>
      <c r="D65" s="74">
        <f t="shared" si="0"/>
        <v>195.75600134111036</v>
      </c>
      <c r="F65" s="2">
        <f>0.5*('Aerodynamic Perf'!$B$24*A65^2*H65*'Aerodynamic Perf'!$B$14)</f>
        <v>10.344669615253665</v>
      </c>
      <c r="G65">
        <f t="shared" si="1"/>
        <v>1.0545025092001696</v>
      </c>
      <c r="H65" s="75">
        <f>('Aerodynamic Perf'!$B$21+'Aerodynamic Perf'!$B$29+'Aerodynamic Perf'!$B$2+'Aerodynamic Perf'!$B$28+'Aerodynamic Perf'!$B$5)+I65^2/(PI()*'Aerodynamic Perf'!$B$7*'Aerodynamic Perf'!$B$10)</f>
        <v>1.7029803205883771E-2</v>
      </c>
      <c r="I65" s="75">
        <f>('Aircraft W+B'!$C$61)/(0.5*'Aerodynamic Perf'!$B$24*A65^2*'Aerodynamic Perf'!$B$14)</f>
        <v>0.18385898523971589</v>
      </c>
      <c r="J65">
        <f>I65*0.5*'Aerodynamic Perf'!$B$24*A65^2*'Aerodynamic Perf'!$B$14</f>
        <v>111.68423000000001</v>
      </c>
      <c r="K65" s="76">
        <f t="shared" si="2"/>
        <v>10.796307098615966</v>
      </c>
      <c r="L65" s="76">
        <f>M65/'Systems Param+Perf'!$C$58</f>
        <v>5.8669166062820945</v>
      </c>
      <c r="M65" s="2">
        <f>('Systems Param+Perf'!$C$4*((G65)^2)+'Systems Param+Perf'!$C$5*((G65))+'Systems Param+Perf'!$C$6)</f>
        <v>130.24554865946251</v>
      </c>
    </row>
    <row r="66" spans="1:13" ht="15.75" customHeight="1" x14ac:dyDescent="0.25">
      <c r="A66" s="65">
        <f t="shared" si="3"/>
        <v>35</v>
      </c>
      <c r="C66" s="79">
        <f>((((('Aircraft W+B'!$C$44*'Systems Param+Perf'!$C$45*'Systems Param+Perf'!$C$46*'Systems Param+Perf'!$C$47)/(3600*'Systems Param+Perf'!$C$58)+('Systems Param+Perf'!$C$57/1000)*'Systems Param+Perf'!$C$60)/((((2)*M66-'Systems Param+Perf'!$C$66+'Systems Param+Perf'!$C$76+'Systems Param+Perf'!$C$83+'Systems Param+Perf'!$C$86)/'Systems Param+Perf'!$C$58)))*60))</f>
        <v>91.467062982979286</v>
      </c>
      <c r="D66" s="74">
        <f t="shared" si="0"/>
        <v>192.08083226425649</v>
      </c>
      <c r="F66" s="2">
        <f>0.5*('Aerodynamic Perf'!$B$24*A66^2*H66*'Aerodynamic Perf'!$B$14)</f>
        <v>10.61067950218172</v>
      </c>
      <c r="G66">
        <f t="shared" si="1"/>
        <v>1.0816187056250479</v>
      </c>
      <c r="H66" s="75">
        <f>('Aerodynamic Perf'!$B$21+'Aerodynamic Perf'!$B$29+'Aerodynamic Perf'!$B$2+'Aerodynamic Perf'!$B$28+'Aerodynamic Perf'!$B$5)+I66^2/(PI()*'Aerodynamic Perf'!$B$7*'Aerodynamic Perf'!$B$10)</f>
        <v>1.6972206325445868E-2</v>
      </c>
      <c r="I66" s="75">
        <f>('Aircraft W+B'!$C$61)/(0.5*'Aerodynamic Perf'!$B$24*A66^2*'Aerodynamic Perf'!$B$14)</f>
        <v>0.17864339361760967</v>
      </c>
      <c r="J66">
        <f>I66*0.5*'Aerodynamic Perf'!$B$24*A66^2*'Aerodynamic Perf'!$B$14</f>
        <v>111.68423000000004</v>
      </c>
      <c r="K66" s="76">
        <f t="shared" si="2"/>
        <v>10.525643525189505</v>
      </c>
      <c r="L66" s="76">
        <f>M66/'Systems Param+Perf'!$C$58</f>
        <v>6.0680400336412159</v>
      </c>
      <c r="M66" s="2">
        <f>('Systems Param+Perf'!$C$4*((G66)^2)+'Systems Param+Perf'!$C$5*((G66))+'Systems Param+Perf'!$C$6)</f>
        <v>134.71048874683501</v>
      </c>
    </row>
    <row r="67" spans="1:13" ht="15.75" customHeight="1" x14ac:dyDescent="0.25">
      <c r="A67" s="65">
        <f t="shared" si="3"/>
        <v>35.5</v>
      </c>
      <c r="C67" s="79">
        <f>((((('Aircraft W+B'!$C$44*'Systems Param+Perf'!$C$45*'Systems Param+Perf'!$C$46*'Systems Param+Perf'!$C$47)/(3600*'Systems Param+Perf'!$C$58)+('Systems Param+Perf'!$C$57/1000)*'Systems Param+Perf'!$C$60)/((((2)*M67-'Systems Param+Perf'!$C$66+'Systems Param+Perf'!$C$76+'Systems Param+Perf'!$C$83+'Systems Param+Perf'!$C$86)/'Systems Param+Perf'!$C$58)))*60))</f>
        <v>88.478014560045438</v>
      </c>
      <c r="D67" s="74">
        <f t="shared" si="0"/>
        <v>188.45817101289677</v>
      </c>
      <c r="F67" s="2">
        <f>0.5*('Aerodynamic Perf'!$B$24*A67^2*H67*'Aerodynamic Perf'!$B$14)</f>
        <v>10.881516698203145</v>
      </c>
      <c r="G67">
        <f t="shared" si="1"/>
        <v>1.1092269824875785</v>
      </c>
      <c r="H67" s="75">
        <f>('Aerodynamic Perf'!$B$21+'Aerodynamic Perf'!$B$29+'Aerodynamic Perf'!$B$2+'Aerodynamic Perf'!$B$28+'Aerodynamic Perf'!$B$5)+I67^2/(PI()*'Aerodynamic Perf'!$B$7*'Aerodynamic Perf'!$B$10)</f>
        <v>1.6918580469901041E-2</v>
      </c>
      <c r="I67" s="75">
        <f>('Aircraft W+B'!$C$61)/(0.5*'Aerodynamic Perf'!$B$24*A67^2*'Aerodynamic Perf'!$B$14)</f>
        <v>0.173646623433106</v>
      </c>
      <c r="J67">
        <f>I67*0.5*'Aerodynamic Perf'!$B$24*A67^2*'Aerodynamic Perf'!$B$14</f>
        <v>111.68423000000001</v>
      </c>
      <c r="K67" s="76">
        <f t="shared" si="2"/>
        <v>10.263663889652657</v>
      </c>
      <c r="L67" s="76">
        <f>M67/'Systems Param+Perf'!$C$58</f>
        <v>6.2752428763389352</v>
      </c>
      <c r="M67" s="2">
        <f>('Systems Param+Perf'!$C$4*((G67)^2)+'Systems Param+Perf'!$C$5*((G67))+'Systems Param+Perf'!$C$6)</f>
        <v>139.31039185472437</v>
      </c>
    </row>
    <row r="68" spans="1:13" ht="15.75" customHeight="1" x14ac:dyDescent="0.25">
      <c r="A68" s="65">
        <f t="shared" si="3"/>
        <v>36</v>
      </c>
      <c r="C68" s="79">
        <f>((((('Aircraft W+B'!$C$44*'Systems Param+Perf'!$C$45*'Systems Param+Perf'!$C$46*'Systems Param+Perf'!$C$47)/(3600*'Systems Param+Perf'!$C$58)+('Systems Param+Perf'!$C$57/1000)*'Systems Param+Perf'!$C$60)/((((2)*M68-'Systems Param+Perf'!$C$66+'Systems Param+Perf'!$C$76+'Systems Param+Perf'!$C$83+'Systems Param+Perf'!$C$86)/'Systems Param+Perf'!$C$58)))*60))</f>
        <v>85.597371806640226</v>
      </c>
      <c r="D68" s="74">
        <f t="shared" si="0"/>
        <v>184.8903231023429</v>
      </c>
      <c r="F68" s="2">
        <f>0.5*('Aerodynamic Perf'!$B$24*A68^2*H68*'Aerodynamic Perf'!$B$14)</f>
        <v>11.15714013065887</v>
      </c>
      <c r="G68">
        <f t="shared" si="1"/>
        <v>1.137323152972362</v>
      </c>
      <c r="H68" s="75">
        <f>('Aerodynamic Perf'!$B$21+'Aerodynamic Perf'!$B$29+'Aerodynamic Perf'!$B$2+'Aerodynamic Perf'!$B$28+'Aerodynamic Perf'!$B$5)+I68^2/(PI()*'Aerodynamic Perf'!$B$7*'Aerodynamic Perf'!$B$10)</f>
        <v>1.6868601583410855E-2</v>
      </c>
      <c r="I68" s="75">
        <f>('Aircraft W+B'!$C$61)/(0.5*'Aerodynamic Perf'!$B$24*A68^2*'Aerodynamic Perf'!$B$14)</f>
        <v>0.16885660276355849</v>
      </c>
      <c r="J68">
        <f>I68*0.5*'Aerodynamic Perf'!$B$24*A68^2*'Aerodynamic Perf'!$B$14</f>
        <v>111.68423</v>
      </c>
      <c r="K68" s="76">
        <f t="shared" si="2"/>
        <v>10.010112689460737</v>
      </c>
      <c r="L68" s="76">
        <f>M68/'Systems Param+Perf'!$C$58</f>
        <v>6.4886242293154277</v>
      </c>
      <c r="M68" s="2">
        <f>('Systems Param+Perf'!$C$4*((G68)^2)+'Systems Param+Perf'!$C$5*((G68))+'Systems Param+Perf'!$C$6)</f>
        <v>144.04745789080252</v>
      </c>
    </row>
    <row r="69" spans="1:13" ht="15.75" customHeight="1" x14ac:dyDescent="0.25">
      <c r="A69" s="65">
        <f t="shared" si="3"/>
        <v>36.5</v>
      </c>
      <c r="C69" s="79">
        <f>((((('Aircraft W+B'!$C$44*'Systems Param+Perf'!$C$45*'Systems Param+Perf'!$C$46*'Systems Param+Perf'!$C$47)/(3600*'Systems Param+Perf'!$C$58)+('Systems Param+Perf'!$C$57/1000)*'Systems Param+Perf'!$C$60)/((((2)*M69-'Systems Param+Perf'!$C$66+'Systems Param+Perf'!$C$76+'Systems Param+Perf'!$C$83+'Systems Param+Perf'!$C$86)/'Systems Param+Perf'!$C$58)))*60))</f>
        <v>82.821524101384313</v>
      </c>
      <c r="D69" s="74">
        <f t="shared" si="0"/>
        <v>181.37913778203165</v>
      </c>
      <c r="F69" s="2">
        <f>0.5*('Aerodynamic Perf'!$B$24*A69^2*H69*'Aerodynamic Perf'!$B$14)</f>
        <v>11.437511520680534</v>
      </c>
      <c r="G69">
        <f t="shared" si="1"/>
        <v>1.165903315054081</v>
      </c>
      <c r="H69" s="75">
        <f>('Aerodynamic Perf'!$B$21+'Aerodynamic Perf'!$B$29+'Aerodynamic Perf'!$B$2+'Aerodynamic Perf'!$B$28+'Aerodynamic Perf'!$B$5)+I69^2/(PI()*'Aerodynamic Perf'!$B$7*'Aerodynamic Perf'!$B$10)</f>
        <v>1.6821976046824706E-2</v>
      </c>
      <c r="I69" s="75">
        <f>('Aircraft W+B'!$C$61)/(0.5*'Aerodynamic Perf'!$B$24*A69^2*'Aerodynamic Perf'!$B$14)</f>
        <v>0.16426208082685068</v>
      </c>
      <c r="J69">
        <f>I69*0.5*'Aerodynamic Perf'!$B$24*A69^2*'Aerodynamic Perf'!$B$14</f>
        <v>111.68423000000001</v>
      </c>
      <c r="K69" s="76">
        <f t="shared" si="2"/>
        <v>9.7647315850183105</v>
      </c>
      <c r="L69" s="76">
        <f>M69/'Systems Param+Perf'!$C$58</f>
        <v>6.708286186068106</v>
      </c>
      <c r="M69" s="2">
        <f>('Systems Param+Perf'!$C$4*((G69)^2)+'Systems Param+Perf'!$C$5*((G69))+'Systems Param+Perf'!$C$6)</f>
        <v>148.92395333071198</v>
      </c>
    </row>
    <row r="70" spans="1:13" ht="15.75" customHeight="1" x14ac:dyDescent="0.25">
      <c r="A70" s="65">
        <f t="shared" si="3"/>
        <v>37</v>
      </c>
      <c r="C70" s="79">
        <f>((((('Aircraft W+B'!$C$44*'Systems Param+Perf'!$C$45*'Systems Param+Perf'!$C$46*'Systems Param+Perf'!$C$47)/(3600*'Systems Param+Perf'!$C$58)+('Systems Param+Perf'!$C$57/1000)*'Systems Param+Perf'!$C$60)/((((2)*M70-'Systems Param+Perf'!$C$66+'Systems Param+Perf'!$C$76+'Systems Param+Perf'!$C$83+'Systems Param+Perf'!$C$86)/'Systems Param+Perf'!$C$58)))*60))</f>
        <v>80.146875453283371</v>
      </c>
      <c r="D70" s="74">
        <f t="shared" si="0"/>
        <v>177.92606350628907</v>
      </c>
      <c r="F70" s="2">
        <f>0.5*('Aerodynamic Perf'!$B$24*A70^2*H70*'Aerodynamic Perf'!$B$14)</f>
        <v>11.722595158211806</v>
      </c>
      <c r="G70">
        <f t="shared" si="1"/>
        <v>1.1949638285638946</v>
      </c>
      <c r="H70" s="75">
        <f>('Aerodynamic Perf'!$B$21+'Aerodynamic Perf'!$B$29+'Aerodynamic Perf'!$B$2+'Aerodynamic Perf'!$B$28+'Aerodynamic Perf'!$B$5)+I70^2/(PI()*'Aerodynamic Perf'!$B$7*'Aerodynamic Perf'!$B$10)</f>
        <v>1.677843745394457E-2</v>
      </c>
      <c r="I70" s="75">
        <f>('Aircraft W+B'!$C$61)/(0.5*'Aerodynamic Perf'!$B$24*A70^2*'Aerodynamic Perf'!$B$14)</f>
        <v>0.15985256185651706</v>
      </c>
      <c r="J70">
        <f>I70*0.5*'Aerodynamic Perf'!$B$24*A70^2*'Aerodynamic Perf'!$B$14</f>
        <v>111.68423000000001</v>
      </c>
      <c r="K70" s="76">
        <f t="shared" si="2"/>
        <v>9.5272615400152247</v>
      </c>
      <c r="L70" s="76">
        <f>M70/'Systems Param+Perf'!$C$58</f>
        <v>6.9343337268610084</v>
      </c>
      <c r="M70" s="2">
        <f>('Systems Param+Perf'!$C$4*((G70)^2)+'Systems Param+Perf'!$C$5*((G70))+'Systems Param+Perf'!$C$6)</f>
        <v>153.9422087363144</v>
      </c>
    </row>
    <row r="71" spans="1:13" ht="15.75" customHeight="1" x14ac:dyDescent="0.25">
      <c r="A71" s="65">
        <f t="shared" si="3"/>
        <v>37.5</v>
      </c>
      <c r="C71" s="79">
        <f>((((('Aircraft W+B'!$C$44*'Systems Param+Perf'!$C$45*'Systems Param+Perf'!$C$46*'Systems Param+Perf'!$C$47)/(3600*'Systems Param+Perf'!$C$58)+('Systems Param+Perf'!$C$57/1000)*'Systems Param+Perf'!$C$60)/((((2)*M71-'Systems Param+Perf'!$C$66+'Systems Param+Perf'!$C$76+'Systems Param+Perf'!$C$83+'Systems Param+Perf'!$C$86)/'Systems Param+Perf'!$C$58)))*60))</f>
        <v>77.569865447075045</v>
      </c>
      <c r="D71" s="74">
        <f t="shared" si="0"/>
        <v>174.53219725591885</v>
      </c>
      <c r="F71" s="2">
        <f>0.5*('Aerodynamic Perf'!$B$24*A71^2*H71*'Aerodynamic Perf'!$B$14)</f>
        <v>12.012357697886184</v>
      </c>
      <c r="G71">
        <f t="shared" si="1"/>
        <v>1.2245012943818741</v>
      </c>
      <c r="H71" s="75">
        <f>('Aerodynamic Perf'!$B$21+'Aerodynamic Perf'!$B$29+'Aerodynamic Perf'!$B$2+'Aerodynamic Perf'!$B$28+'Aerodynamic Perf'!$B$5)+I71^2/(PI()*'Aerodynamic Perf'!$B$7*'Aerodynamic Perf'!$B$10)</f>
        <v>1.6737743766880562E-2</v>
      </c>
      <c r="I71" s="75">
        <f>('Aircraft W+B'!$C$61)/(0.5*'Aerodynamic Perf'!$B$24*A71^2*'Aerodynamic Perf'!$B$14)</f>
        <v>0.15561824510689551</v>
      </c>
      <c r="J71">
        <f>I71*0.5*'Aerodynamic Perf'!$B$24*A71^2*'Aerodynamic Perf'!$B$14</f>
        <v>111.68423000000001</v>
      </c>
      <c r="K71" s="76">
        <f t="shared" si="2"/>
        <v>9.2974445823947693</v>
      </c>
      <c r="L71" s="76">
        <f>M71/'Systems Param+Perf'!$C$58</f>
        <v>7.1668746178071459</v>
      </c>
      <c r="M71" s="2">
        <f>('Systems Param+Perf'!$C$4*((G71)^2)+'Systems Param+Perf'!$C$5*((G71))+'Systems Param+Perf'!$C$6)</f>
        <v>159.10461651531867</v>
      </c>
    </row>
    <row r="72" spans="1:13" ht="15.75" customHeight="1" x14ac:dyDescent="0.25">
      <c r="A72" s="65">
        <f t="shared" si="3"/>
        <v>38</v>
      </c>
      <c r="C72" s="79">
        <f>((((('Aircraft W+B'!$C$44*'Systems Param+Perf'!$C$45*'Systems Param+Perf'!$C$46*'Systems Param+Perf'!$C$47)/(3600*'Systems Param+Perf'!$C$58)+('Systems Param+Perf'!$C$57/1000)*'Systems Param+Perf'!$C$60)/((((2)*M72-'Systems Param+Perf'!$C$66+'Systems Param+Perf'!$C$76+'Systems Param+Perf'!$C$83+'Systems Param+Perf'!$C$86)/'Systems Param+Perf'!$C$58)))*60))</f>
        <v>75.086986115734334</v>
      </c>
      <c r="D72" s="74">
        <f t="shared" si="0"/>
        <v>171.19832834387427</v>
      </c>
      <c r="F72" s="2">
        <f>0.5*('Aerodynamic Perf'!$B$24*A72^2*H72*'Aerodynamic Perf'!$B$14)</f>
        <v>12.306767973580349</v>
      </c>
      <c r="G72">
        <f t="shared" si="1"/>
        <v>1.254512535533165</v>
      </c>
      <c r="H72" s="75">
        <f>('Aerodynamic Perf'!$B$21+'Aerodynamic Perf'!$B$29+'Aerodynamic Perf'!$B$2+'Aerodynamic Perf'!$B$28+'Aerodynamic Perf'!$B$5)+I72^2/(PI()*'Aerodynamic Perf'!$B$7*'Aerodynamic Perf'!$B$10)</f>
        <v>1.6699674801606324E-2</v>
      </c>
      <c r="I72" s="75">
        <f>('Aircraft W+B'!$C$61)/(0.5*'Aerodynamic Perf'!$B$24*A72^2*'Aerodynamic Perf'!$B$14)</f>
        <v>0.15154997034734891</v>
      </c>
      <c r="J72">
        <f>I72*0.5*'Aerodynamic Perf'!$B$24*A72^2*'Aerodynamic Perf'!$B$14</f>
        <v>111.68423000000001</v>
      </c>
      <c r="K72" s="76">
        <f t="shared" si="2"/>
        <v>9.0750252413760464</v>
      </c>
      <c r="L72" s="76">
        <f>M72/'Systems Param+Perf'!$C$58</f>
        <v>7.4060193196280837</v>
      </c>
      <c r="M72" s="2">
        <f>('Systems Param+Perf'!$C$4*((G72)^2)+'Systems Param+Perf'!$C$5*((G72))+'Systems Param+Perf'!$C$6)</f>
        <v>164.41362889574347</v>
      </c>
    </row>
    <row r="73" spans="1:13" ht="15.75" customHeight="1" x14ac:dyDescent="0.25">
      <c r="A73" s="65">
        <f t="shared" si="3"/>
        <v>38.5</v>
      </c>
      <c r="C73" s="79">
        <f>((((('Aircraft W+B'!$C$44*'Systems Param+Perf'!$C$45*'Systems Param+Perf'!$C$46*'Systems Param+Perf'!$C$47)/(3600*'Systems Param+Perf'!$C$58)+('Systems Param+Perf'!$C$57/1000)*'Systems Param+Perf'!$C$60)/((((2)*M73-'Systems Param+Perf'!$C$66+'Systems Param+Perf'!$C$76+'Systems Param+Perf'!$C$83+'Systems Param+Perf'!$C$86)/'Systems Param+Perf'!$C$58)))*60))</f>
        <v>72.69479536106283</v>
      </c>
      <c r="D73" s="74">
        <f t="shared" si="0"/>
        <v>167.9249772840551</v>
      </c>
      <c r="F73" s="2">
        <f>0.5*('Aerodynamic Perf'!$B$24*A73^2*H73*'Aerodynamic Perf'!$B$14)</f>
        <v>12.605796829715633</v>
      </c>
      <c r="G73">
        <f t="shared" si="1"/>
        <v>1.2849945799913998</v>
      </c>
      <c r="H73" s="75">
        <f>('Aerodynamic Perf'!$B$21+'Aerodynamic Perf'!$B$29+'Aerodynamic Perf'!$B$2+'Aerodynamic Perf'!$B$28+'Aerodynamic Perf'!$B$5)+I73^2/(PI()*'Aerodynamic Perf'!$B$7*'Aerodynamic Perf'!$B$10)</f>
        <v>1.6664030001670563E-2</v>
      </c>
      <c r="I73" s="75">
        <f>('Aircraft W+B'!$C$61)/(0.5*'Aerodynamic Perf'!$B$24*A73^2*'Aerodynamic Perf'!$B$14)</f>
        <v>0.14763916827901624</v>
      </c>
      <c r="J73">
        <f>I73*0.5*'Aerodynamic Perf'!$B$24*A73^2*'Aerodynamic Perf'!$B$14</f>
        <v>111.68423000000001</v>
      </c>
      <c r="K73" s="76">
        <f t="shared" si="2"/>
        <v>8.8597517085732242</v>
      </c>
      <c r="L73" s="76">
        <f>M73/'Systems Param+Perf'!$C$58</f>
        <v>7.6518809050414145</v>
      </c>
      <c r="M73" s="2">
        <f>('Systems Param+Perf'!$C$4*((G73)^2)+'Systems Param+Perf'!$C$5*((G73))+'Systems Param+Perf'!$C$6)</f>
        <v>169.87175609191942</v>
      </c>
    </row>
    <row r="74" spans="1:13" ht="15.75" customHeight="1" x14ac:dyDescent="0.25">
      <c r="A74" s="65">
        <f t="shared" si="3"/>
        <v>39</v>
      </c>
      <c r="C74" s="79">
        <f>((((('Aircraft W+B'!$C$44*'Systems Param+Perf'!$C$45*'Systems Param+Perf'!$C$46*'Systems Param+Perf'!$C$47)/(3600*'Systems Param+Perf'!$C$58)+('Systems Param+Perf'!$C$57/1000)*'Systems Param+Perf'!$C$60)/((((2)*M74-'Systems Param+Perf'!$C$66+'Systems Param+Perf'!$C$76+'Systems Param+Perf'!$C$83+'Systems Param+Perf'!$C$86)/'Systems Param+Perf'!$C$58)))*60))</f>
        <v>70.38992745715926</v>
      </c>
      <c r="D74" s="74">
        <f t="shared" si="0"/>
        <v>164.71243024975266</v>
      </c>
      <c r="F74" s="2">
        <f>0.5*('Aerodynamic Perf'!$B$24*A74^2*H74*'Aerodynamic Perf'!$B$14)</f>
        <v>12.909416967600919</v>
      </c>
      <c r="G74">
        <f t="shared" si="1"/>
        <v>1.315944645015384</v>
      </c>
      <c r="H74" s="75">
        <f>('Aerodynamic Perf'!$B$21+'Aerodynamic Perf'!$B$29+'Aerodynamic Perf'!$B$2+'Aerodynamic Perf'!$B$28+'Aerodynamic Perf'!$B$5)+I74^2/(PI()*'Aerodynamic Perf'!$B$7*'Aerodynamic Perf'!$B$10)</f>
        <v>1.6630626463835563E-2</v>
      </c>
      <c r="I74" s="75">
        <f>('Aircraft W+B'!$C$61)/(0.5*'Aerodynamic Perf'!$B$24*A74^2*'Aerodynamic Perf'!$B$14)</f>
        <v>0.14387781537249955</v>
      </c>
      <c r="J74">
        <f>I74*0.5*'Aerodynamic Perf'!$B$24*A74^2*'Aerodynamic Perf'!$B$14</f>
        <v>111.68423</v>
      </c>
      <c r="K74" s="76">
        <f t="shared" si="2"/>
        <v>8.6513767647521718</v>
      </c>
      <c r="L74" s="76">
        <f>M74/'Systems Param+Perf'!$C$58</f>
        <v>7.9045749838533554</v>
      </c>
      <c r="M74" s="2">
        <f>('Systems Param+Perf'!$C$4*((G74)^2)+'Systems Param+Perf'!$C$5*((G74))+'Systems Param+Perf'!$C$6)</f>
        <v>175.48156464154451</v>
      </c>
    </row>
    <row r="75" spans="1:13" ht="15.75" customHeight="1" x14ac:dyDescent="0.25">
      <c r="A75" s="65">
        <f t="shared" si="3"/>
        <v>39.5</v>
      </c>
      <c r="C75" s="79">
        <f>((((('Aircraft W+B'!$C$44*'Systems Param+Perf'!$C$45*'Systems Param+Perf'!$C$46*'Systems Param+Perf'!$C$47)/(3600*'Systems Param+Perf'!$C$58)+('Systems Param+Perf'!$C$57/1000)*'Systems Param+Perf'!$C$60)/((((2)*M75-'Systems Param+Perf'!$C$66+'Systems Param+Perf'!$C$76+'Systems Param+Perf'!$C$83+'Systems Param+Perf'!$C$86)/'Systems Param+Perf'!$C$58)))*60))</f>
        <v>68.169101096332724</v>
      </c>
      <c r="D75" s="74">
        <f t="shared" si="0"/>
        <v>161.56076959830855</v>
      </c>
      <c r="F75" s="2">
        <f>0.5*('Aerodynamic Perf'!$B$24*A75^2*H75*'Aerodynamic Perf'!$B$14)</f>
        <v>13.217602805303656</v>
      </c>
      <c r="G75">
        <f t="shared" si="1"/>
        <v>1.3473601228647967</v>
      </c>
      <c r="H75" s="75">
        <f>('Aerodynamic Perf'!$B$21+'Aerodynamic Perf'!$B$29+'Aerodynamic Perf'!$B$2+'Aerodynamic Perf'!$B$28+'Aerodynamic Perf'!$B$5)+I75^2/(PI()*'Aerodynamic Perf'!$B$7*'Aerodynamic Perf'!$B$10)</f>
        <v>1.6599297184361577E-2</v>
      </c>
      <c r="I75" s="75">
        <f>('Aircraft W+B'!$C$61)/(0.5*'Aerodynamic Perf'!$B$24*A75^2*'Aerodynamic Perf'!$B$14)</f>
        <v>0.14025839268166757</v>
      </c>
      <c r="J75">
        <f>I75*0.5*'Aerodynamic Perf'!$B$24*A75^2*'Aerodynamic Perf'!$B$14</f>
        <v>111.68423</v>
      </c>
      <c r="K75" s="76">
        <f t="shared" si="2"/>
        <v>8.4496585080606241</v>
      </c>
      <c r="L75" s="76">
        <f>M75/'Systems Param+Perf'!$C$58</f>
        <v>8.1642196349435494</v>
      </c>
      <c r="M75" s="2">
        <f>('Systems Param+Perf'!$C$4*((G75)^2)+'Systems Param+Perf'!$C$5*((G75))+'Systems Param+Perf'!$C$6)</f>
        <v>181.24567589574681</v>
      </c>
    </row>
    <row r="76" spans="1:13" ht="15.75" customHeight="1" x14ac:dyDescent="0.25">
      <c r="A76" s="65">
        <f t="shared" si="3"/>
        <v>40</v>
      </c>
      <c r="C76" s="79">
        <f>((((('Aircraft W+B'!$C$44*'Systems Param+Perf'!$C$45*'Systems Param+Perf'!$C$46*'Systems Param+Perf'!$C$47)/(3600*'Systems Param+Perf'!$C$58)+('Systems Param+Perf'!$C$57/1000)*'Systems Param+Perf'!$C$60)/((((2)*M76-'Systems Param+Perf'!$C$66+'Systems Param+Perf'!$C$76+'Systems Param+Perf'!$C$83+'Systems Param+Perf'!$C$86)/'Systems Param+Perf'!$C$58)))*60))</f>
        <v>66.02912537154063</v>
      </c>
      <c r="D76" s="74">
        <f t="shared" si="0"/>
        <v>158.46990089169751</v>
      </c>
      <c r="F76" s="2">
        <f>0.5*('Aerodynamic Perf'!$B$24*A76^2*H76*'Aerodynamic Perf'!$B$14)</f>
        <v>13.530330349704656</v>
      </c>
      <c r="G76">
        <f t="shared" si="1"/>
        <v>1.3792385677578649</v>
      </c>
      <c r="H76" s="75">
        <f>('Aerodynamic Perf'!$B$21+'Aerodynamic Perf'!$B$29+'Aerodynamic Perf'!$B$2+'Aerodynamic Perf'!$B$28+'Aerodynamic Perf'!$B$5)+I76^2/(PI()*'Aerodynamic Perf'!$B$7*'Aerodynamic Perf'!$B$10)</f>
        <v>1.6569889498875862E-2</v>
      </c>
      <c r="I76" s="75">
        <f>('Aircraft W+B'!$C$61)/(0.5*'Aerodynamic Perf'!$B$24*A76^2*'Aerodynamic Perf'!$B$14)</f>
        <v>0.13677384823848238</v>
      </c>
      <c r="J76">
        <f>I76*0.5*'Aerodynamic Perf'!$B$24*A76^2*'Aerodynamic Perf'!$B$14</f>
        <v>111.68423000000001</v>
      </c>
      <c r="K76" s="76">
        <f t="shared" si="2"/>
        <v>8.2543609145831311</v>
      </c>
      <c r="L76" s="76">
        <f>M76/'Systems Param+Perf'!$C$58</f>
        <v>8.4309353444245776</v>
      </c>
      <c r="M76" s="2">
        <f>('Systems Param+Perf'!$C$4*((G76)^2)+'Systems Param+Perf'!$C$5*((G76))+'Systems Param+Perf'!$C$6)</f>
        <v>187.16676464622563</v>
      </c>
    </row>
    <row r="77" spans="1:13" ht="15.75" customHeight="1" x14ac:dyDescent="0.25">
      <c r="A77" s="65">
        <f t="shared" si="3"/>
        <v>40.5</v>
      </c>
      <c r="C77" s="79">
        <f>((((('Aircraft W+B'!$C$44*'Systems Param+Perf'!$C$45*'Systems Param+Perf'!$C$46*'Systems Param+Perf'!$C$47)/(3600*'Systems Param+Perf'!$C$58)+('Systems Param+Perf'!$C$57/1000)*'Systems Param+Perf'!$C$60)/((((2)*M77-'Systems Param+Perf'!$C$66+'Systems Param+Perf'!$C$76+'Systems Param+Perf'!$C$83+'Systems Param+Perf'!$C$86)/'Systems Param+Perf'!$C$58)))*60))</f>
        <v>63.966904032617279</v>
      </c>
      <c r="D77" s="74">
        <f t="shared" si="0"/>
        <v>155.43957679925998</v>
      </c>
      <c r="F77" s="2">
        <f>0.5*('Aerodynamic Perf'!$B$24*A77^2*H77*'Aerodynamic Perf'!$B$14)</f>
        <v>13.847577079540899</v>
      </c>
      <c r="G77">
        <f t="shared" si="1"/>
        <v>1.4115776839491232</v>
      </c>
      <c r="H77" s="75">
        <f>('Aerodynamic Perf'!$B$21+'Aerodynamic Perf'!$B$29+'Aerodynamic Perf'!$B$2+'Aerodynamic Perf'!$B$28+'Aerodynamic Perf'!$B$5)+I77^2/(PI()*'Aerodynamic Perf'!$B$7*'Aerodynamic Perf'!$B$10)</f>
        <v>1.654226369237172E-2</v>
      </c>
      <c r="I77" s="75">
        <f>('Aircraft W+B'!$C$61)/(0.5*'Aerodynamic Perf'!$B$24*A77^2*'Aerodynamic Perf'!$B$14)</f>
        <v>0.13341756267737956</v>
      </c>
      <c r="J77">
        <f>I77*0.5*'Aerodynamic Perf'!$B$24*A77^2*'Aerodynamic Perf'!$B$14</f>
        <v>111.68423000000001</v>
      </c>
      <c r="K77" s="76">
        <f t="shared" si="2"/>
        <v>8.0652542577291619</v>
      </c>
      <c r="L77" s="76">
        <f>M77/'Systems Param+Perf'!$C$58</f>
        <v>8.7048449493418794</v>
      </c>
      <c r="M77" s="2">
        <f>('Systems Param+Perf'!$C$4*((G77)^2)+'Systems Param+Perf'!$C$5*((G77))+'Systems Param+Perf'!$C$6)</f>
        <v>193.24755787538973</v>
      </c>
    </row>
    <row r="78" spans="1:13" ht="15.75" customHeight="1" x14ac:dyDescent="0.25">
      <c r="A78" s="65">
        <f t="shared" si="3"/>
        <v>41</v>
      </c>
      <c r="C78" s="79">
        <f>((((('Aircraft W+B'!$C$44*'Systems Param+Perf'!$C$45*'Systems Param+Perf'!$C$46*'Systems Param+Perf'!$C$47)/(3600*'Systems Param+Perf'!$C$58)+('Systems Param+Perf'!$C$57/1000)*'Systems Param+Perf'!$C$60)/((((2)*M78-'Systems Param+Perf'!$C$66+'Systems Param+Perf'!$C$76+'Systems Param+Perf'!$C$83+'Systems Param+Perf'!$C$86)/'Systems Param+Perf'!$C$58)))*60))</f>
        <v>61.979438304395643</v>
      </c>
      <c r="D78" s="74">
        <f t="shared" si="0"/>
        <v>152.46941822881328</v>
      </c>
      <c r="F78" s="2">
        <f>0.5*('Aerodynamic Perf'!$B$24*A78^2*H78*'Aerodynamic Perf'!$B$14)</f>
        <v>14.169321838370996</v>
      </c>
      <c r="G78">
        <f t="shared" si="1"/>
        <v>1.444375314818654</v>
      </c>
      <c r="H78" s="75">
        <f>('Aerodynamic Perf'!$B$21+'Aerodynamic Perf'!$B$29+'Aerodynamic Perf'!$B$2+'Aerodynamic Perf'!$B$28+'Aerodynamic Perf'!$B$5)+I78^2/(PI()*'Aerodynamic Perf'!$B$7*'Aerodynamic Perf'!$B$10)</f>
        <v>1.6516291758971197E-2</v>
      </c>
      <c r="I78" s="75">
        <f>('Aircraft W+B'!$C$61)/(0.5*'Aerodynamic Perf'!$B$24*A78^2*'Aerodynamic Perf'!$B$14)</f>
        <v>0.1301833177760689</v>
      </c>
      <c r="J78">
        <f>I78*0.5*'Aerodynamic Perf'!$B$24*A78^2*'Aerodynamic Perf'!$B$14</f>
        <v>111.68423000000001</v>
      </c>
      <c r="K78" s="76">
        <f t="shared" si="2"/>
        <v>7.8821154091902548</v>
      </c>
      <c r="L78" s="76">
        <f>M78/'Systems Param+Perf'!$C$58</f>
        <v>8.9860735863523082</v>
      </c>
      <c r="M78" s="2">
        <f>('Systems Param+Perf'!$C$4*((G78)^2)+'Systems Param+Perf'!$C$5*((G78))+'Systems Param+Perf'!$C$6)</f>
        <v>199.49083361702128</v>
      </c>
    </row>
    <row r="79" spans="1:13" ht="15.75" customHeight="1" x14ac:dyDescent="0.25">
      <c r="A79" s="65">
        <f t="shared" si="3"/>
        <v>41.5</v>
      </c>
      <c r="C79" s="79">
        <f>((((('Aircraft W+B'!$C$44*'Systems Param+Perf'!$C$45*'Systems Param+Perf'!$C$46*'Systems Param+Perf'!$C$47)/(3600*'Systems Param+Perf'!$C$58)+('Systems Param+Perf'!$C$57/1000)*'Systems Param+Perf'!$C$60)/((((2)*M79-'Systems Param+Perf'!$C$66+'Systems Param+Perf'!$C$76+'Systems Param+Perf'!$C$83+'Systems Param+Perf'!$C$86)/'Systems Param+Perf'!$C$58)))*60))</f>
        <v>60.063828512378834</v>
      </c>
      <c r="D79" s="74">
        <f t="shared" si="0"/>
        <v>149.55893299582331</v>
      </c>
      <c r="F79" s="2">
        <f>0.5*('Aerodynamic Perf'!$B$24*A79^2*H79*'Aerodynamic Perf'!$B$14)</f>
        <v>14.495544736512645</v>
      </c>
      <c r="G79">
        <f t="shared" si="1"/>
        <v>1.4776294328759068</v>
      </c>
      <c r="H79" s="75">
        <f>('Aerodynamic Perf'!$B$21+'Aerodynamic Perf'!$B$29+'Aerodynamic Perf'!$B$2+'Aerodynamic Perf'!$B$28+'Aerodynamic Perf'!$B$5)+I79^2/(PI()*'Aerodynamic Perf'!$B$7*'Aerodynamic Perf'!$B$10)</f>
        <v>1.6491856293735199E-2</v>
      </c>
      <c r="I79" s="75">
        <f>('Aircraft W+B'!$C$61)/(0.5*'Aerodynamic Perf'!$B$24*A79^2*'Aerodynamic Perf'!$B$14)</f>
        <v>0.1270652676333702</v>
      </c>
      <c r="J79">
        <f>I79*0.5*'Aerodynamic Perf'!$B$24*A79^2*'Aerodynamic Perf'!$B$14</f>
        <v>111.68423000000001</v>
      </c>
      <c r="K79" s="76">
        <f t="shared" si="2"/>
        <v>7.7047280409324683</v>
      </c>
      <c r="L79" s="76">
        <f>M79/'Systems Param+Perf'!$C$58</f>
        <v>9.2747486448829761</v>
      </c>
      <c r="M79" s="2">
        <f>('Systems Param+Perf'!$C$4*((G79)^2)+'Systems Param+Perf'!$C$5*((G79))+'Systems Param+Perf'!$C$6)</f>
        <v>205.89941991640208</v>
      </c>
    </row>
    <row r="80" spans="1:13" ht="15.75" customHeight="1" x14ac:dyDescent="0.25">
      <c r="A80" s="65">
        <f t="shared" si="3"/>
        <v>42</v>
      </c>
      <c r="C80" s="79">
        <f>((((('Aircraft W+B'!$C$44*'Systems Param+Perf'!$C$45*'Systems Param+Perf'!$C$46*'Systems Param+Perf'!$C$47)/(3600*'Systems Param+Perf'!$C$58)+('Systems Param+Perf'!$C$57/1000)*'Systems Param+Perf'!$C$60)/((((2)*M80-'Systems Param+Perf'!$C$66+'Systems Param+Perf'!$C$76+'Systems Param+Perf'!$C$83+'Systems Param+Perf'!$C$86)/'Systems Param+Perf'!$C$58)))*60))</f>
        <v>58.217274725047453</v>
      </c>
      <c r="D80" s="74">
        <f t="shared" si="0"/>
        <v>146.70753230711958</v>
      </c>
      <c r="F80" s="2">
        <f>0.5*('Aerodynamic Perf'!$B$24*A80^2*H80*'Aerodynamic Perf'!$B$14)</f>
        <v>14.826227061102898</v>
      </c>
      <c r="G80">
        <f t="shared" si="1"/>
        <v>1.5113381305915288</v>
      </c>
      <c r="H80" s="75">
        <f>('Aerodynamic Perf'!$B$21+'Aerodynamic Perf'!$B$29+'Aerodynamic Perf'!$B$2+'Aerodynamic Perf'!$B$28+'Aerodynamic Perf'!$B$5)+I80^2/(PI()*'Aerodynamic Perf'!$B$7*'Aerodynamic Perf'!$B$10)</f>
        <v>1.6468849501083078E-2</v>
      </c>
      <c r="I80" s="75">
        <f>('Aircraft W+B'!$C$61)/(0.5*'Aerodynamic Perf'!$B$24*A80^2*'Aerodynamic Perf'!$B$14)</f>
        <v>0.12405791223445116</v>
      </c>
      <c r="J80">
        <f>I80*0.5*'Aerodynamic Perf'!$B$24*A80^2*'Aerodynamic Perf'!$B$14</f>
        <v>111.68423000000004</v>
      </c>
      <c r="K80" s="76">
        <f t="shared" si="2"/>
        <v>7.532882744862806</v>
      </c>
      <c r="L80" s="76">
        <f>M80/'Systems Param+Perf'!$C$58</f>
        <v>9.5709997243276312</v>
      </c>
      <c r="M80" s="2">
        <f>('Systems Param+Perf'!$C$4*((G80)^2)+'Systems Param+Perf'!$C$5*((G80))+'Systems Param+Perf'!$C$6)</f>
        <v>212.47619388007345</v>
      </c>
    </row>
    <row r="81" spans="1:12" ht="15.75" customHeight="1" x14ac:dyDescent="0.25">
      <c r="A81" s="65"/>
      <c r="C81" s="74"/>
      <c r="D81" s="74"/>
      <c r="H81" s="75"/>
      <c r="I81" s="75"/>
      <c r="K81" s="76"/>
      <c r="L81" s="76"/>
    </row>
    <row r="82" spans="1:12" ht="15.75" customHeight="1" x14ac:dyDescent="0.25">
      <c r="A82" s="65"/>
      <c r="C82" s="74"/>
      <c r="D82" s="74"/>
      <c r="H82" s="75"/>
      <c r="I82" s="75"/>
      <c r="K82" s="76"/>
      <c r="L82" s="76"/>
    </row>
    <row r="83" spans="1:12" ht="15.75" customHeight="1" x14ac:dyDescent="0.25">
      <c r="A83" s="65"/>
      <c r="C83" s="74"/>
      <c r="D83" s="74"/>
      <c r="H83" s="75"/>
      <c r="I83" s="75"/>
      <c r="K83" s="76"/>
      <c r="L83" s="76"/>
    </row>
    <row r="84" spans="1:12" ht="15.75" customHeight="1" x14ac:dyDescent="0.25">
      <c r="A84" s="65"/>
      <c r="C84" s="74"/>
      <c r="D84" s="74"/>
      <c r="H84" s="75"/>
      <c r="I84" s="75"/>
      <c r="K84" s="76"/>
      <c r="L84" s="76"/>
    </row>
    <row r="85" spans="1:12" ht="15.75" customHeight="1" x14ac:dyDescent="0.25">
      <c r="A85" s="65"/>
      <c r="C85" s="74"/>
      <c r="D85" s="74"/>
      <c r="H85" s="75"/>
      <c r="I85" s="75"/>
      <c r="K85" s="76"/>
      <c r="L85" s="76"/>
    </row>
    <row r="86" spans="1:12" ht="15.75" customHeight="1" x14ac:dyDescent="0.25">
      <c r="A86" s="65"/>
      <c r="C86" s="74"/>
      <c r="D86" s="74"/>
      <c r="H86" s="75"/>
      <c r="I86" s="75"/>
      <c r="K86" s="76"/>
      <c r="L86" s="76"/>
    </row>
    <row r="87" spans="1:12" ht="15.75" customHeight="1" x14ac:dyDescent="0.25">
      <c r="A87" s="65"/>
      <c r="C87" s="74"/>
      <c r="D87" s="74"/>
      <c r="H87" s="75"/>
      <c r="I87" s="75"/>
      <c r="K87" s="76"/>
      <c r="L87" s="76"/>
    </row>
    <row r="88" spans="1:12" ht="15.75" customHeight="1" x14ac:dyDescent="0.25">
      <c r="A88" s="65"/>
      <c r="C88" s="74"/>
      <c r="D88" s="74"/>
      <c r="H88" s="75"/>
      <c r="I88" s="75"/>
      <c r="K88" s="76"/>
      <c r="L88" s="76"/>
    </row>
    <row r="89" spans="1:12" ht="15.75" customHeight="1" x14ac:dyDescent="0.25">
      <c r="A89" s="65"/>
      <c r="C89" s="74"/>
      <c r="D89" s="74"/>
      <c r="H89" s="75"/>
      <c r="I89" s="75"/>
      <c r="K89" s="76"/>
      <c r="L89" s="76"/>
    </row>
    <row r="90" spans="1:12" ht="15.75" customHeight="1" x14ac:dyDescent="0.25">
      <c r="A90" s="65"/>
      <c r="C90" s="74"/>
      <c r="D90" s="74"/>
      <c r="H90" s="75"/>
      <c r="I90" s="75"/>
      <c r="K90" s="76"/>
      <c r="L90" s="76"/>
    </row>
    <row r="91" spans="1:12" ht="15.75" customHeight="1" x14ac:dyDescent="0.25">
      <c r="A91" s="65"/>
      <c r="C91" s="74"/>
      <c r="D91" s="74"/>
      <c r="H91" s="75"/>
      <c r="I91" s="75"/>
      <c r="K91" s="76"/>
      <c r="L91" s="76"/>
    </row>
    <row r="92" spans="1:12" ht="15.75" customHeight="1" x14ac:dyDescent="0.25">
      <c r="A92" s="65"/>
      <c r="C92" s="74"/>
      <c r="D92" s="74"/>
      <c r="H92" s="75"/>
      <c r="I92" s="75"/>
      <c r="K92" s="76"/>
      <c r="L92" s="76"/>
    </row>
    <row r="93" spans="1:12" ht="15.75" customHeight="1" x14ac:dyDescent="0.25">
      <c r="A93" s="65"/>
      <c r="C93" s="74"/>
      <c r="D93" s="74"/>
      <c r="H93" s="75"/>
      <c r="I93" s="75"/>
      <c r="K93" s="76"/>
      <c r="L93" s="76"/>
    </row>
    <row r="94" spans="1:12" ht="15.75" customHeight="1" x14ac:dyDescent="0.25">
      <c r="A94" s="65"/>
      <c r="C94" s="74"/>
      <c r="D94" s="74"/>
      <c r="H94" s="75"/>
      <c r="I94" s="75"/>
      <c r="K94" s="76"/>
      <c r="L94" s="76"/>
    </row>
    <row r="95" spans="1:12" ht="15.75" customHeight="1" x14ac:dyDescent="0.25">
      <c r="A95" s="65"/>
      <c r="C95" s="74"/>
      <c r="D95" s="74"/>
      <c r="H95" s="75"/>
      <c r="I95" s="75"/>
      <c r="K95" s="76"/>
      <c r="L95" s="76"/>
    </row>
    <row r="96" spans="1:12" ht="15.75" customHeight="1" x14ac:dyDescent="0.25">
      <c r="A96" s="72" t="s">
        <v>292</v>
      </c>
      <c r="C96" s="65" t="s">
        <v>302</v>
      </c>
      <c r="D96" s="74"/>
      <c r="H96" s="75"/>
      <c r="I96" s="75"/>
      <c r="K96" s="76"/>
      <c r="L96" s="76"/>
    </row>
    <row r="97" spans="1:12" ht="15.75" customHeight="1" x14ac:dyDescent="0.25">
      <c r="A97" s="77" t="e">
        <f>'[1]Irrelevant Example'!K8</f>
        <v>#REF!</v>
      </c>
      <c r="B97" s="65" t="s">
        <v>303</v>
      </c>
      <c r="C97" s="74"/>
      <c r="D97" s="74"/>
      <c r="H97" s="75"/>
      <c r="I97" s="75"/>
      <c r="K97" s="76"/>
      <c r="L97" s="76"/>
    </row>
    <row r="98" spans="1:12" ht="15.75" customHeight="1" x14ac:dyDescent="0.25">
      <c r="A98" t="e">
        <f>A2</f>
        <v>#REF!</v>
      </c>
      <c r="B98" s="65" t="s">
        <v>301</v>
      </c>
      <c r="D98" s="74"/>
      <c r="H98" s="75"/>
      <c r="I98" s="75"/>
      <c r="K98" s="76"/>
      <c r="L98" s="76"/>
    </row>
    <row r="99" spans="1:12" ht="15.75" customHeight="1" x14ac:dyDescent="0.25">
      <c r="A99" s="65">
        <f t="shared" ref="A99:A175" si="4">A4</f>
        <v>4</v>
      </c>
      <c r="C99" t="s">
        <v>359</v>
      </c>
      <c r="D99" s="74"/>
      <c r="H99" s="75"/>
      <c r="I99" s="75"/>
      <c r="K99" s="76"/>
      <c r="L99" s="76"/>
    </row>
    <row r="100" spans="1:12" ht="15.75" customHeight="1" x14ac:dyDescent="0.25">
      <c r="A100" s="65">
        <f t="shared" si="4"/>
        <v>4.5</v>
      </c>
      <c r="C100" t="s">
        <v>359</v>
      </c>
      <c r="D100" s="74"/>
      <c r="H100" s="75"/>
      <c r="I100" s="75"/>
      <c r="K100" s="76"/>
      <c r="L100" s="76"/>
    </row>
    <row r="101" spans="1:12" ht="15.75" customHeight="1" x14ac:dyDescent="0.25">
      <c r="A101" s="65">
        <f t="shared" si="4"/>
        <v>5</v>
      </c>
      <c r="C101" t="s">
        <v>359</v>
      </c>
      <c r="D101" s="74"/>
      <c r="H101" s="75"/>
      <c r="I101" s="75"/>
      <c r="K101" s="76"/>
      <c r="L101" s="76"/>
    </row>
    <row r="102" spans="1:12" ht="15.75" customHeight="1" x14ac:dyDescent="0.25">
      <c r="A102" s="65">
        <f t="shared" si="4"/>
        <v>5.5</v>
      </c>
      <c r="C102" t="s">
        <v>359</v>
      </c>
      <c r="D102" s="74"/>
      <c r="H102" s="75"/>
      <c r="I102" s="75"/>
      <c r="K102" s="76"/>
      <c r="L102" s="76"/>
    </row>
    <row r="103" spans="1:12" ht="15.75" customHeight="1" x14ac:dyDescent="0.25">
      <c r="A103" s="65">
        <f t="shared" si="4"/>
        <v>6</v>
      </c>
      <c r="C103" t="s">
        <v>359</v>
      </c>
      <c r="D103" s="74"/>
      <c r="H103" s="75"/>
      <c r="I103" s="75"/>
      <c r="K103" s="76"/>
      <c r="L103" s="76"/>
    </row>
    <row r="104" spans="1:12" ht="15.75" customHeight="1" x14ac:dyDescent="0.25">
      <c r="A104" s="65">
        <f t="shared" si="4"/>
        <v>6.5</v>
      </c>
      <c r="C104" t="s">
        <v>359</v>
      </c>
      <c r="D104" s="74"/>
      <c r="H104" s="75"/>
      <c r="I104" s="75"/>
      <c r="K104" s="76"/>
      <c r="L104" s="76"/>
    </row>
    <row r="105" spans="1:12" ht="15.75" customHeight="1" x14ac:dyDescent="0.25">
      <c r="A105" s="65">
        <f t="shared" si="4"/>
        <v>7</v>
      </c>
      <c r="C105" t="s">
        <v>359</v>
      </c>
      <c r="D105" s="74"/>
      <c r="H105" s="75"/>
      <c r="I105" s="75"/>
      <c r="K105" s="76"/>
      <c r="L105" s="76"/>
    </row>
    <row r="106" spans="1:12" ht="15.75" customHeight="1" x14ac:dyDescent="0.25">
      <c r="A106" s="65">
        <f t="shared" si="4"/>
        <v>7.5</v>
      </c>
      <c r="C106" t="s">
        <v>359</v>
      </c>
      <c r="D106" s="74"/>
      <c r="H106" s="75"/>
      <c r="I106" s="75"/>
      <c r="K106" s="76"/>
      <c r="L106" s="76"/>
    </row>
    <row r="107" spans="1:12" ht="15.75" customHeight="1" x14ac:dyDescent="0.25">
      <c r="A107" s="65">
        <f t="shared" si="4"/>
        <v>8</v>
      </c>
      <c r="C107" t="s">
        <v>359</v>
      </c>
      <c r="D107" s="74"/>
      <c r="H107" s="75"/>
      <c r="I107" s="75"/>
      <c r="K107" s="76"/>
      <c r="L107" s="76"/>
    </row>
    <row r="108" spans="1:12" ht="15.75" customHeight="1" x14ac:dyDescent="0.25">
      <c r="A108" s="65">
        <f t="shared" si="4"/>
        <v>8.5</v>
      </c>
      <c r="C108" t="s">
        <v>359</v>
      </c>
      <c r="D108" s="74"/>
      <c r="H108" s="75"/>
      <c r="I108" s="75"/>
      <c r="K108" s="76"/>
      <c r="L108" s="76"/>
    </row>
    <row r="109" spans="1:12" ht="15.75" customHeight="1" x14ac:dyDescent="0.25">
      <c r="A109" s="65">
        <f t="shared" si="4"/>
        <v>9</v>
      </c>
      <c r="C109" t="s">
        <v>359</v>
      </c>
      <c r="D109" s="74"/>
      <c r="H109" s="75"/>
      <c r="I109" s="75"/>
      <c r="K109" s="76"/>
      <c r="L109" s="76"/>
    </row>
    <row r="110" spans="1:12" ht="15.75" customHeight="1" x14ac:dyDescent="0.25">
      <c r="A110" s="65">
        <f t="shared" si="4"/>
        <v>9.5</v>
      </c>
      <c r="C110" t="s">
        <v>359</v>
      </c>
      <c r="D110" s="74"/>
      <c r="H110" s="75"/>
      <c r="I110" s="75"/>
      <c r="K110" s="76"/>
      <c r="L110" s="76"/>
    </row>
    <row r="111" spans="1:12" ht="15.75" customHeight="1" x14ac:dyDescent="0.25">
      <c r="A111" s="65">
        <f t="shared" si="4"/>
        <v>10</v>
      </c>
      <c r="C111" t="s">
        <v>359</v>
      </c>
      <c r="D111" s="74"/>
      <c r="H111" s="75"/>
      <c r="I111" s="75"/>
      <c r="K111" s="76"/>
      <c r="L111" s="76"/>
    </row>
    <row r="112" spans="1:12" ht="15.75" customHeight="1" x14ac:dyDescent="0.25">
      <c r="A112" s="65">
        <f t="shared" si="4"/>
        <v>10.5</v>
      </c>
      <c r="C112" t="s">
        <v>359</v>
      </c>
      <c r="D112" s="74"/>
      <c r="H112" s="75"/>
      <c r="I112" s="75"/>
      <c r="K112" s="76"/>
      <c r="L112" s="76"/>
    </row>
    <row r="113" spans="1:12" ht="15.75" customHeight="1" x14ac:dyDescent="0.25">
      <c r="A113" s="65">
        <f t="shared" si="4"/>
        <v>11</v>
      </c>
      <c r="C113" t="s">
        <v>359</v>
      </c>
      <c r="D113" s="74"/>
      <c r="H113" s="75"/>
      <c r="I113" s="75"/>
      <c r="K113" s="76"/>
      <c r="L113" s="76"/>
    </row>
    <row r="114" spans="1:12" ht="15.75" customHeight="1" x14ac:dyDescent="0.25">
      <c r="A114" s="65">
        <f t="shared" si="4"/>
        <v>11.5</v>
      </c>
      <c r="C114" t="s">
        <v>359</v>
      </c>
      <c r="D114" s="74"/>
      <c r="H114" s="75"/>
      <c r="I114" s="75"/>
      <c r="K114" s="76"/>
      <c r="L114" s="76"/>
    </row>
    <row r="115" spans="1:12" ht="15.75" customHeight="1" x14ac:dyDescent="0.25">
      <c r="A115" s="65">
        <f t="shared" si="4"/>
        <v>12</v>
      </c>
      <c r="C115" t="s">
        <v>359</v>
      </c>
      <c r="D115" s="74"/>
      <c r="H115" s="75"/>
      <c r="I115" s="75"/>
      <c r="K115" s="76"/>
      <c r="L115" s="76"/>
    </row>
    <row r="116" spans="1:12" ht="15.75" customHeight="1" x14ac:dyDescent="0.25">
      <c r="A116" s="65">
        <f t="shared" si="4"/>
        <v>12.5</v>
      </c>
      <c r="C116" t="s">
        <v>359</v>
      </c>
      <c r="D116" s="74"/>
      <c r="H116" s="75"/>
      <c r="I116" s="75"/>
      <c r="K116" s="76"/>
      <c r="L116" s="76"/>
    </row>
    <row r="117" spans="1:12" ht="15.75" customHeight="1" x14ac:dyDescent="0.25">
      <c r="A117" s="65">
        <f t="shared" si="4"/>
        <v>13</v>
      </c>
      <c r="C117" t="s">
        <v>359</v>
      </c>
      <c r="D117" s="74"/>
      <c r="H117" s="75"/>
      <c r="I117" s="75"/>
      <c r="K117" s="76"/>
      <c r="L117" s="76"/>
    </row>
    <row r="118" spans="1:12" ht="15.75" customHeight="1" x14ac:dyDescent="0.25">
      <c r="A118" s="65">
        <f t="shared" si="4"/>
        <v>13.5</v>
      </c>
      <c r="C118" t="s">
        <v>359</v>
      </c>
      <c r="D118" s="74"/>
      <c r="H118" s="75"/>
      <c r="I118" s="75"/>
      <c r="K118" s="76"/>
      <c r="L118" s="76"/>
    </row>
    <row r="119" spans="1:12" ht="15.75" customHeight="1" x14ac:dyDescent="0.25">
      <c r="A119" s="65">
        <f t="shared" si="4"/>
        <v>14</v>
      </c>
      <c r="C119" t="s">
        <v>359</v>
      </c>
      <c r="D119" s="74"/>
      <c r="H119" s="75"/>
      <c r="I119" s="75"/>
      <c r="K119" s="76"/>
      <c r="L119" s="76"/>
    </row>
    <row r="120" spans="1:12" ht="15.75" customHeight="1" x14ac:dyDescent="0.25">
      <c r="A120" s="65">
        <f t="shared" si="4"/>
        <v>14.5</v>
      </c>
      <c r="C120" t="s">
        <v>359</v>
      </c>
      <c r="D120" s="74"/>
      <c r="H120" s="75"/>
      <c r="I120" s="75"/>
      <c r="K120" s="76"/>
      <c r="L120" s="76"/>
    </row>
    <row r="121" spans="1:12" ht="15.75" customHeight="1" x14ac:dyDescent="0.25">
      <c r="A121" s="65">
        <f t="shared" si="4"/>
        <v>15</v>
      </c>
      <c r="C121" t="s">
        <v>359</v>
      </c>
      <c r="D121" s="74"/>
      <c r="H121" s="75"/>
      <c r="I121" s="75"/>
      <c r="K121" s="76"/>
      <c r="L121" s="76"/>
    </row>
    <row r="122" spans="1:12" ht="15.75" customHeight="1" x14ac:dyDescent="0.25">
      <c r="A122" s="65">
        <f t="shared" si="4"/>
        <v>15.5</v>
      </c>
      <c r="C122" t="s">
        <v>359</v>
      </c>
      <c r="D122" s="74"/>
      <c r="H122" s="75"/>
      <c r="I122" s="75"/>
      <c r="K122" s="76"/>
      <c r="L122" s="76"/>
    </row>
    <row r="123" spans="1:12" ht="15.75" customHeight="1" x14ac:dyDescent="0.25">
      <c r="A123" s="65">
        <f t="shared" si="4"/>
        <v>16</v>
      </c>
      <c r="C123" t="s">
        <v>359</v>
      </c>
      <c r="D123" s="74"/>
      <c r="H123" s="75"/>
      <c r="I123" s="75"/>
      <c r="K123" s="76"/>
      <c r="L123" s="76"/>
    </row>
    <row r="124" spans="1:12" ht="15.75" customHeight="1" x14ac:dyDescent="0.25">
      <c r="A124" s="65">
        <f t="shared" si="4"/>
        <v>16.5</v>
      </c>
      <c r="C124" t="s">
        <v>359</v>
      </c>
      <c r="D124" s="74"/>
      <c r="H124" s="75"/>
      <c r="I124" s="75"/>
      <c r="K124" s="76"/>
      <c r="L124" s="76"/>
    </row>
    <row r="125" spans="1:12" ht="15.75" customHeight="1" x14ac:dyDescent="0.25">
      <c r="A125" s="65">
        <f t="shared" si="4"/>
        <v>17</v>
      </c>
      <c r="C125" t="s">
        <v>359</v>
      </c>
      <c r="D125" s="74"/>
      <c r="H125" s="75"/>
      <c r="I125" s="75"/>
      <c r="K125" s="76"/>
      <c r="L125" s="76"/>
    </row>
    <row r="126" spans="1:12" ht="15.75" customHeight="1" x14ac:dyDescent="0.25">
      <c r="A126" s="65">
        <f t="shared" si="4"/>
        <v>17.5</v>
      </c>
      <c r="C126" t="s">
        <v>359</v>
      </c>
      <c r="D126" s="74"/>
      <c r="H126" s="75"/>
      <c r="I126" s="75"/>
      <c r="K126" s="76"/>
      <c r="L126" s="76"/>
    </row>
    <row r="127" spans="1:12" ht="15.75" customHeight="1" x14ac:dyDescent="0.25">
      <c r="A127" s="65">
        <f t="shared" si="4"/>
        <v>18</v>
      </c>
      <c r="C127" t="s">
        <v>359</v>
      </c>
      <c r="D127" s="74"/>
      <c r="H127" s="75"/>
      <c r="I127" s="75"/>
      <c r="K127" s="76"/>
      <c r="L127" s="76"/>
    </row>
    <row r="128" spans="1:12" ht="15.75" customHeight="1" x14ac:dyDescent="0.25">
      <c r="A128" s="65">
        <f t="shared" si="4"/>
        <v>18.5</v>
      </c>
      <c r="C128" t="s">
        <v>359</v>
      </c>
      <c r="D128" s="74"/>
      <c r="H128" s="75"/>
      <c r="I128" s="75"/>
      <c r="K128" s="76"/>
      <c r="L128" s="76"/>
    </row>
    <row r="129" spans="1:12" ht="15.75" customHeight="1" x14ac:dyDescent="0.25">
      <c r="A129" s="65">
        <f t="shared" si="4"/>
        <v>19</v>
      </c>
      <c r="C129" t="s">
        <v>359</v>
      </c>
      <c r="D129" s="74"/>
      <c r="H129" s="75"/>
      <c r="I129" s="75"/>
      <c r="K129" s="76"/>
      <c r="L129" s="76"/>
    </row>
    <row r="130" spans="1:12" ht="15.75" customHeight="1" x14ac:dyDescent="0.25">
      <c r="A130" s="65">
        <f t="shared" si="4"/>
        <v>19.5</v>
      </c>
      <c r="C130" t="s">
        <v>359</v>
      </c>
      <c r="D130" s="74"/>
      <c r="H130" s="75"/>
      <c r="I130" s="75"/>
      <c r="K130" s="76"/>
      <c r="L130" s="76"/>
    </row>
    <row r="131" spans="1:12" ht="15.75" customHeight="1" x14ac:dyDescent="0.25">
      <c r="A131" s="65">
        <f t="shared" si="4"/>
        <v>20</v>
      </c>
      <c r="C131" t="s">
        <v>359</v>
      </c>
      <c r="D131" s="74"/>
      <c r="H131" s="75"/>
      <c r="I131" s="75"/>
      <c r="K131" s="76"/>
      <c r="L131" s="76"/>
    </row>
    <row r="132" spans="1:12" ht="15.75" customHeight="1" x14ac:dyDescent="0.25">
      <c r="A132" s="65">
        <f t="shared" si="4"/>
        <v>20.5</v>
      </c>
      <c r="C132" t="s">
        <v>359</v>
      </c>
      <c r="D132" s="74"/>
      <c r="H132" s="75"/>
      <c r="I132" s="75"/>
      <c r="K132" s="76"/>
      <c r="L132" s="76"/>
    </row>
    <row r="133" spans="1:12" ht="15.75" customHeight="1" x14ac:dyDescent="0.25">
      <c r="A133" s="65">
        <f t="shared" si="4"/>
        <v>21</v>
      </c>
      <c r="C133" t="s">
        <v>359</v>
      </c>
      <c r="D133" s="74"/>
      <c r="H133" s="75"/>
      <c r="I133" s="75"/>
      <c r="K133" s="76"/>
      <c r="L133" s="76"/>
    </row>
    <row r="134" spans="1:12" ht="15.75" customHeight="1" x14ac:dyDescent="0.25">
      <c r="A134" s="65">
        <f t="shared" si="4"/>
        <v>21.5</v>
      </c>
      <c r="C134" t="s">
        <v>359</v>
      </c>
      <c r="D134" s="74"/>
      <c r="H134" s="75"/>
      <c r="I134" s="75"/>
      <c r="K134" s="76"/>
      <c r="L134" s="76"/>
    </row>
    <row r="135" spans="1:12" ht="15.75" customHeight="1" x14ac:dyDescent="0.25">
      <c r="A135" s="65">
        <f t="shared" si="4"/>
        <v>22</v>
      </c>
      <c r="C135" t="s">
        <v>359</v>
      </c>
      <c r="D135" s="74"/>
      <c r="H135" s="75"/>
      <c r="I135" s="75"/>
      <c r="K135" s="76"/>
      <c r="L135" s="76"/>
    </row>
    <row r="136" spans="1:12" ht="15.75" customHeight="1" x14ac:dyDescent="0.25">
      <c r="A136" s="65">
        <f t="shared" si="4"/>
        <v>22.5</v>
      </c>
      <c r="C136" t="s">
        <v>359</v>
      </c>
      <c r="D136" s="74"/>
      <c r="H136" s="75"/>
      <c r="I136" s="75"/>
      <c r="K136" s="76"/>
      <c r="L136" s="76"/>
    </row>
    <row r="137" spans="1:12" ht="15.75" customHeight="1" x14ac:dyDescent="0.25">
      <c r="A137" s="65">
        <f t="shared" si="4"/>
        <v>23</v>
      </c>
      <c r="C137" t="s">
        <v>359</v>
      </c>
      <c r="D137" s="74"/>
      <c r="H137" s="75"/>
      <c r="I137" s="75"/>
      <c r="K137" s="76"/>
      <c r="L137" s="76"/>
    </row>
    <row r="138" spans="1:12" ht="15.75" customHeight="1" x14ac:dyDescent="0.25">
      <c r="A138" s="65">
        <f t="shared" si="4"/>
        <v>23.5</v>
      </c>
      <c r="C138" t="s">
        <v>359</v>
      </c>
      <c r="D138" s="74"/>
      <c r="H138" s="75"/>
      <c r="I138" s="75"/>
      <c r="K138" s="76"/>
      <c r="L138" s="76"/>
    </row>
    <row r="139" spans="1:12" ht="15.75" customHeight="1" x14ac:dyDescent="0.25">
      <c r="A139" s="65">
        <f t="shared" si="4"/>
        <v>24</v>
      </c>
      <c r="C139" t="s">
        <v>359</v>
      </c>
      <c r="D139" s="74"/>
      <c r="H139" s="75"/>
      <c r="I139" s="75"/>
      <c r="K139" s="76"/>
      <c r="L139" s="76"/>
    </row>
    <row r="140" spans="1:12" ht="15.75" customHeight="1" x14ac:dyDescent="0.25">
      <c r="A140" s="65">
        <f t="shared" si="4"/>
        <v>24.5</v>
      </c>
      <c r="C140" t="s">
        <v>359</v>
      </c>
      <c r="D140" s="74"/>
      <c r="H140" s="75"/>
      <c r="I140" s="75"/>
      <c r="K140" s="76"/>
      <c r="L140" s="76"/>
    </row>
    <row r="141" spans="1:12" ht="15.75" customHeight="1" x14ac:dyDescent="0.25">
      <c r="A141" s="65">
        <f t="shared" si="4"/>
        <v>25</v>
      </c>
      <c r="C141" t="s">
        <v>359</v>
      </c>
      <c r="D141" s="74"/>
      <c r="H141" s="75"/>
      <c r="I141" s="75"/>
      <c r="K141" s="76"/>
      <c r="L141" s="76"/>
    </row>
    <row r="142" spans="1:12" ht="15.75" customHeight="1" x14ac:dyDescent="0.25">
      <c r="A142" s="65">
        <f t="shared" si="4"/>
        <v>25.5</v>
      </c>
      <c r="C142" t="s">
        <v>359</v>
      </c>
      <c r="D142" s="74"/>
      <c r="H142" s="75"/>
      <c r="I142" s="75"/>
      <c r="K142" s="76"/>
      <c r="L142" s="76"/>
    </row>
    <row r="143" spans="1:12" ht="15.75" customHeight="1" x14ac:dyDescent="0.25">
      <c r="A143" s="65">
        <f t="shared" si="4"/>
        <v>26</v>
      </c>
      <c r="C143" t="s">
        <v>359</v>
      </c>
      <c r="D143" s="74"/>
      <c r="H143" s="75"/>
      <c r="I143" s="75"/>
      <c r="K143" s="76"/>
      <c r="L143" s="76"/>
    </row>
    <row r="144" spans="1:12" ht="15.75" customHeight="1" x14ac:dyDescent="0.25">
      <c r="A144" s="65">
        <f t="shared" si="4"/>
        <v>26.5</v>
      </c>
      <c r="C144" t="s">
        <v>359</v>
      </c>
      <c r="D144" s="74"/>
      <c r="H144" s="75"/>
      <c r="I144" s="75"/>
      <c r="K144" s="76"/>
      <c r="L144" s="76"/>
    </row>
    <row r="145" spans="1:12" ht="15.75" customHeight="1" x14ac:dyDescent="0.25">
      <c r="A145" s="65">
        <f t="shared" si="4"/>
        <v>27</v>
      </c>
      <c r="C145" t="s">
        <v>359</v>
      </c>
      <c r="D145" s="74"/>
      <c r="H145" s="75"/>
      <c r="I145" s="75"/>
      <c r="K145" s="76"/>
      <c r="L145" s="76"/>
    </row>
    <row r="146" spans="1:12" ht="15.75" customHeight="1" x14ac:dyDescent="0.25">
      <c r="A146" s="65">
        <f t="shared" si="4"/>
        <v>27.5</v>
      </c>
      <c r="C146" t="s">
        <v>359</v>
      </c>
      <c r="D146" s="81"/>
    </row>
    <row r="147" spans="1:12" ht="15.75" customHeight="1" x14ac:dyDescent="0.25">
      <c r="A147" s="65">
        <f t="shared" si="4"/>
        <v>28</v>
      </c>
      <c r="C147" t="s">
        <v>359</v>
      </c>
      <c r="D147" s="81"/>
    </row>
    <row r="148" spans="1:12" ht="15.75" customHeight="1" x14ac:dyDescent="0.25">
      <c r="A148" s="65">
        <f t="shared" si="4"/>
        <v>28.5</v>
      </c>
      <c r="C148" t="s">
        <v>359</v>
      </c>
      <c r="D148" s="81"/>
    </row>
    <row r="149" spans="1:12" ht="15.75" customHeight="1" x14ac:dyDescent="0.25">
      <c r="A149" s="65">
        <f t="shared" si="4"/>
        <v>29</v>
      </c>
      <c r="C149" t="s">
        <v>359</v>
      </c>
      <c r="D149" s="81"/>
    </row>
    <row r="150" spans="1:12" ht="15.75" customHeight="1" x14ac:dyDescent="0.25">
      <c r="A150" s="65">
        <f t="shared" si="4"/>
        <v>29.5</v>
      </c>
      <c r="C150" t="s">
        <v>359</v>
      </c>
      <c r="D150" s="81"/>
    </row>
    <row r="151" spans="1:12" ht="15.75" customHeight="1" x14ac:dyDescent="0.25">
      <c r="A151" s="65">
        <f t="shared" si="4"/>
        <v>30</v>
      </c>
      <c r="C151" t="s">
        <v>359</v>
      </c>
      <c r="D151" s="81"/>
    </row>
    <row r="152" spans="1:12" ht="15.75" customHeight="1" x14ac:dyDescent="0.25">
      <c r="A152" s="65">
        <f t="shared" si="4"/>
        <v>30.5</v>
      </c>
      <c r="C152" t="s">
        <v>359</v>
      </c>
      <c r="D152" s="81"/>
    </row>
    <row r="153" spans="1:12" ht="15.75" customHeight="1" x14ac:dyDescent="0.25">
      <c r="A153" s="65">
        <f t="shared" si="4"/>
        <v>31</v>
      </c>
      <c r="C153" t="s">
        <v>359</v>
      </c>
      <c r="D153" s="81"/>
    </row>
    <row r="154" spans="1:12" ht="15.75" customHeight="1" x14ac:dyDescent="0.25">
      <c r="A154" s="65">
        <f t="shared" si="4"/>
        <v>31.5</v>
      </c>
      <c r="C154" t="s">
        <v>359</v>
      </c>
      <c r="D154" s="81"/>
    </row>
    <row r="155" spans="1:12" ht="15.75" customHeight="1" x14ac:dyDescent="0.25">
      <c r="A155" s="65">
        <f t="shared" si="4"/>
        <v>32</v>
      </c>
      <c r="C155" t="s">
        <v>359</v>
      </c>
      <c r="D155" s="81"/>
    </row>
    <row r="156" spans="1:12" ht="15.75" customHeight="1" x14ac:dyDescent="0.25">
      <c r="A156" s="65">
        <f t="shared" si="4"/>
        <v>32.5</v>
      </c>
      <c r="C156" t="s">
        <v>359</v>
      </c>
      <c r="D156" s="81"/>
    </row>
    <row r="157" spans="1:12" ht="15.75" customHeight="1" x14ac:dyDescent="0.25">
      <c r="A157" s="65">
        <f t="shared" si="4"/>
        <v>33</v>
      </c>
      <c r="C157" t="s">
        <v>359</v>
      </c>
      <c r="D157" s="81"/>
    </row>
    <row r="158" spans="1:12" ht="15.75" customHeight="1" x14ac:dyDescent="0.25">
      <c r="A158" s="65">
        <f t="shared" si="4"/>
        <v>33.5</v>
      </c>
      <c r="C158" t="s">
        <v>359</v>
      </c>
      <c r="D158" s="81"/>
    </row>
    <row r="159" spans="1:12" ht="15.75" customHeight="1" x14ac:dyDescent="0.25">
      <c r="A159" s="65">
        <f t="shared" si="4"/>
        <v>34</v>
      </c>
      <c r="C159" t="s">
        <v>359</v>
      </c>
      <c r="D159" s="81"/>
    </row>
    <row r="160" spans="1:12" ht="15.75" customHeight="1" x14ac:dyDescent="0.25">
      <c r="A160" s="65">
        <f t="shared" si="4"/>
        <v>34.5</v>
      </c>
      <c r="C160" t="s">
        <v>359</v>
      </c>
      <c r="D160" s="81"/>
    </row>
    <row r="161" spans="1:4" ht="15.75" customHeight="1" x14ac:dyDescent="0.25">
      <c r="A161" s="65">
        <f t="shared" si="4"/>
        <v>35</v>
      </c>
      <c r="C161" t="s">
        <v>359</v>
      </c>
      <c r="D161" s="81"/>
    </row>
    <row r="162" spans="1:4" ht="15.75" customHeight="1" x14ac:dyDescent="0.25">
      <c r="A162" s="65">
        <f t="shared" si="4"/>
        <v>35.5</v>
      </c>
      <c r="C162" t="s">
        <v>359</v>
      </c>
      <c r="D162" s="81"/>
    </row>
    <row r="163" spans="1:4" ht="15.75" customHeight="1" x14ac:dyDescent="0.25">
      <c r="A163" s="65">
        <f t="shared" si="4"/>
        <v>36</v>
      </c>
      <c r="C163" t="s">
        <v>359</v>
      </c>
      <c r="D163" s="81"/>
    </row>
    <row r="164" spans="1:4" ht="15.75" customHeight="1" x14ac:dyDescent="0.25">
      <c r="A164" s="65">
        <f t="shared" si="4"/>
        <v>36.5</v>
      </c>
      <c r="C164" t="s">
        <v>359</v>
      </c>
      <c r="D164" s="81"/>
    </row>
    <row r="165" spans="1:4" ht="15.75" customHeight="1" x14ac:dyDescent="0.25">
      <c r="A165" s="65">
        <f t="shared" si="4"/>
        <v>37</v>
      </c>
      <c r="C165" t="s">
        <v>359</v>
      </c>
      <c r="D165" s="81"/>
    </row>
    <row r="166" spans="1:4" ht="15.75" customHeight="1" x14ac:dyDescent="0.25">
      <c r="A166" s="65">
        <f t="shared" si="4"/>
        <v>37.5</v>
      </c>
      <c r="C166" t="s">
        <v>359</v>
      </c>
      <c r="D166" s="81"/>
    </row>
    <row r="167" spans="1:4" ht="15.75" customHeight="1" x14ac:dyDescent="0.25">
      <c r="A167" s="65">
        <f t="shared" si="4"/>
        <v>38</v>
      </c>
      <c r="C167" t="s">
        <v>359</v>
      </c>
      <c r="D167" s="81"/>
    </row>
    <row r="168" spans="1:4" ht="15.75" customHeight="1" x14ac:dyDescent="0.25">
      <c r="A168" s="65">
        <f t="shared" si="4"/>
        <v>38.5</v>
      </c>
      <c r="C168" t="s">
        <v>359</v>
      </c>
      <c r="D168" s="81"/>
    </row>
    <row r="169" spans="1:4" ht="15.75" customHeight="1" x14ac:dyDescent="0.25">
      <c r="A169" s="65">
        <f t="shared" si="4"/>
        <v>39</v>
      </c>
      <c r="C169" t="s">
        <v>359</v>
      </c>
      <c r="D169" s="81"/>
    </row>
    <row r="170" spans="1:4" ht="15.75" customHeight="1" x14ac:dyDescent="0.25">
      <c r="A170" s="65">
        <f t="shared" si="4"/>
        <v>39.5</v>
      </c>
      <c r="C170" t="s">
        <v>359</v>
      </c>
      <c r="D170" s="81"/>
    </row>
    <row r="171" spans="1:4" ht="15.75" customHeight="1" x14ac:dyDescent="0.25">
      <c r="A171" s="65">
        <f t="shared" si="4"/>
        <v>40</v>
      </c>
      <c r="C171" t="s">
        <v>359</v>
      </c>
      <c r="D171" s="81"/>
    </row>
    <row r="172" spans="1:4" ht="15.75" customHeight="1" x14ac:dyDescent="0.25">
      <c r="A172" s="65">
        <f t="shared" si="4"/>
        <v>40.5</v>
      </c>
      <c r="C172" t="s">
        <v>359</v>
      </c>
      <c r="D172" s="81"/>
    </row>
    <row r="173" spans="1:4" ht="15.75" customHeight="1" x14ac:dyDescent="0.25">
      <c r="A173" s="65">
        <f t="shared" si="4"/>
        <v>41</v>
      </c>
      <c r="C173" t="s">
        <v>359</v>
      </c>
      <c r="D173" s="81"/>
    </row>
    <row r="174" spans="1:4" ht="15.75" customHeight="1" x14ac:dyDescent="0.25">
      <c r="A174" s="65">
        <f t="shared" si="4"/>
        <v>41.5</v>
      </c>
      <c r="C174" t="s">
        <v>359</v>
      </c>
      <c r="D174" s="81"/>
    </row>
    <row r="175" spans="1:4" ht="15.75" customHeight="1" x14ac:dyDescent="0.25">
      <c r="A175" s="65">
        <f t="shared" si="4"/>
        <v>42</v>
      </c>
      <c r="C175" t="s">
        <v>359</v>
      </c>
      <c r="D175" s="81"/>
    </row>
    <row r="176" spans="1:4" ht="15.75" customHeight="1" x14ac:dyDescent="0.25">
      <c r="D176" s="81"/>
    </row>
    <row r="177" spans="1:4" ht="15.75" customHeight="1" x14ac:dyDescent="0.25">
      <c r="A177" s="72" t="s">
        <v>292</v>
      </c>
      <c r="C177" s="65" t="s">
        <v>295</v>
      </c>
      <c r="D177" s="81"/>
    </row>
    <row r="178" spans="1:4" ht="15.75" customHeight="1" x14ac:dyDescent="0.25">
      <c r="A178" s="77" t="e">
        <f>'[1]Irrelevant Example'!K7</f>
        <v>#REF!</v>
      </c>
      <c r="B178" s="65" t="s">
        <v>304</v>
      </c>
      <c r="D178" s="81"/>
    </row>
    <row r="179" spans="1:4" ht="15.75" customHeight="1" x14ac:dyDescent="0.25">
      <c r="A179" t="e">
        <f t="shared" ref="A179:A256" si="5">A98</f>
        <v>#REF!</v>
      </c>
      <c r="B179" s="65" t="s">
        <v>305</v>
      </c>
      <c r="D179" s="81"/>
    </row>
    <row r="180" spans="1:4" ht="15.75" customHeight="1" x14ac:dyDescent="0.25">
      <c r="A180">
        <f t="shared" si="5"/>
        <v>4</v>
      </c>
      <c r="C180" t="s">
        <v>359</v>
      </c>
      <c r="D180" s="81"/>
    </row>
    <row r="181" spans="1:4" ht="15.75" customHeight="1" x14ac:dyDescent="0.25">
      <c r="A181">
        <f t="shared" si="5"/>
        <v>4.5</v>
      </c>
      <c r="C181" t="s">
        <v>359</v>
      </c>
      <c r="D181" s="81"/>
    </row>
    <row r="182" spans="1:4" ht="15.75" customHeight="1" x14ac:dyDescent="0.25">
      <c r="A182">
        <f t="shared" si="5"/>
        <v>5</v>
      </c>
      <c r="C182" t="s">
        <v>359</v>
      </c>
      <c r="D182" s="81"/>
    </row>
    <row r="183" spans="1:4" ht="15.75" customHeight="1" x14ac:dyDescent="0.25">
      <c r="A183">
        <f t="shared" si="5"/>
        <v>5.5</v>
      </c>
      <c r="C183" t="s">
        <v>359</v>
      </c>
      <c r="D183" s="81"/>
    </row>
    <row r="184" spans="1:4" ht="15.75" customHeight="1" x14ac:dyDescent="0.25">
      <c r="A184">
        <f t="shared" si="5"/>
        <v>6</v>
      </c>
      <c r="C184" t="s">
        <v>359</v>
      </c>
      <c r="D184" s="81"/>
    </row>
    <row r="185" spans="1:4" ht="15.75" customHeight="1" x14ac:dyDescent="0.25">
      <c r="A185">
        <f t="shared" si="5"/>
        <v>6.5</v>
      </c>
      <c r="C185" t="s">
        <v>359</v>
      </c>
      <c r="D185" s="81"/>
    </row>
    <row r="186" spans="1:4" ht="15.75" customHeight="1" x14ac:dyDescent="0.25">
      <c r="A186">
        <f t="shared" si="5"/>
        <v>7</v>
      </c>
      <c r="C186" t="s">
        <v>359</v>
      </c>
      <c r="D186" s="81"/>
    </row>
    <row r="187" spans="1:4" ht="15.75" customHeight="1" x14ac:dyDescent="0.25">
      <c r="A187">
        <f t="shared" si="5"/>
        <v>7.5</v>
      </c>
      <c r="C187" t="s">
        <v>359</v>
      </c>
      <c r="D187" s="81"/>
    </row>
    <row r="188" spans="1:4" ht="15.75" customHeight="1" x14ac:dyDescent="0.25">
      <c r="A188">
        <f t="shared" si="5"/>
        <v>8</v>
      </c>
      <c r="C188" t="s">
        <v>359</v>
      </c>
      <c r="D188" s="81"/>
    </row>
    <row r="189" spans="1:4" ht="15.75" customHeight="1" x14ac:dyDescent="0.25">
      <c r="A189">
        <f t="shared" si="5"/>
        <v>8.5</v>
      </c>
      <c r="C189" t="s">
        <v>359</v>
      </c>
      <c r="D189" s="81"/>
    </row>
    <row r="190" spans="1:4" ht="15.75" customHeight="1" x14ac:dyDescent="0.25">
      <c r="A190">
        <f t="shared" si="5"/>
        <v>9</v>
      </c>
      <c r="C190" t="s">
        <v>359</v>
      </c>
      <c r="D190" s="81"/>
    </row>
    <row r="191" spans="1:4" ht="15.75" customHeight="1" x14ac:dyDescent="0.25">
      <c r="A191">
        <f t="shared" si="5"/>
        <v>9.5</v>
      </c>
      <c r="C191" t="s">
        <v>359</v>
      </c>
      <c r="D191" s="81"/>
    </row>
    <row r="192" spans="1:4" ht="15.75" customHeight="1" x14ac:dyDescent="0.25">
      <c r="A192">
        <f t="shared" si="5"/>
        <v>10</v>
      </c>
      <c r="C192" t="s">
        <v>359</v>
      </c>
      <c r="D192" s="81"/>
    </row>
    <row r="193" spans="1:4" ht="15.75" customHeight="1" x14ac:dyDescent="0.25">
      <c r="A193">
        <f t="shared" si="5"/>
        <v>10.5</v>
      </c>
      <c r="C193" t="s">
        <v>359</v>
      </c>
      <c r="D193" s="81"/>
    </row>
    <row r="194" spans="1:4" ht="15.75" customHeight="1" x14ac:dyDescent="0.25">
      <c r="A194">
        <f t="shared" si="5"/>
        <v>11</v>
      </c>
      <c r="C194" t="s">
        <v>359</v>
      </c>
      <c r="D194" s="81"/>
    </row>
    <row r="195" spans="1:4" ht="15.75" customHeight="1" x14ac:dyDescent="0.25">
      <c r="A195">
        <f t="shared" si="5"/>
        <v>11.5</v>
      </c>
      <c r="C195" t="s">
        <v>359</v>
      </c>
      <c r="D195" s="81"/>
    </row>
    <row r="196" spans="1:4" ht="15.75" customHeight="1" x14ac:dyDescent="0.25">
      <c r="A196">
        <f t="shared" si="5"/>
        <v>12</v>
      </c>
      <c r="C196" t="s">
        <v>359</v>
      </c>
      <c r="D196" s="81"/>
    </row>
    <row r="197" spans="1:4" ht="15.75" customHeight="1" x14ac:dyDescent="0.25">
      <c r="A197">
        <f t="shared" si="5"/>
        <v>12.5</v>
      </c>
      <c r="C197" t="s">
        <v>359</v>
      </c>
      <c r="D197" s="81"/>
    </row>
    <row r="198" spans="1:4" ht="15.75" customHeight="1" x14ac:dyDescent="0.25">
      <c r="A198">
        <f t="shared" si="5"/>
        <v>13</v>
      </c>
      <c r="C198" t="s">
        <v>359</v>
      </c>
      <c r="D198" s="81"/>
    </row>
    <row r="199" spans="1:4" ht="15.75" customHeight="1" x14ac:dyDescent="0.25">
      <c r="A199">
        <f t="shared" si="5"/>
        <v>13.5</v>
      </c>
      <c r="C199" t="s">
        <v>359</v>
      </c>
      <c r="D199" s="81"/>
    </row>
    <row r="200" spans="1:4" ht="15.75" customHeight="1" x14ac:dyDescent="0.25">
      <c r="A200">
        <f t="shared" si="5"/>
        <v>14</v>
      </c>
      <c r="C200" t="s">
        <v>359</v>
      </c>
      <c r="D200" s="81"/>
    </row>
    <row r="201" spans="1:4" ht="15.75" customHeight="1" x14ac:dyDescent="0.25">
      <c r="A201">
        <f t="shared" si="5"/>
        <v>14.5</v>
      </c>
      <c r="C201" t="s">
        <v>359</v>
      </c>
      <c r="D201" s="81"/>
    </row>
    <row r="202" spans="1:4" ht="15.75" customHeight="1" x14ac:dyDescent="0.25">
      <c r="A202">
        <f t="shared" si="5"/>
        <v>15</v>
      </c>
      <c r="C202" t="s">
        <v>359</v>
      </c>
      <c r="D202" s="81"/>
    </row>
    <row r="203" spans="1:4" ht="15.75" customHeight="1" x14ac:dyDescent="0.25">
      <c r="A203">
        <f t="shared" si="5"/>
        <v>15.5</v>
      </c>
      <c r="C203" t="s">
        <v>359</v>
      </c>
      <c r="D203" s="81"/>
    </row>
    <row r="204" spans="1:4" ht="15.75" customHeight="1" x14ac:dyDescent="0.25">
      <c r="A204">
        <f t="shared" si="5"/>
        <v>16</v>
      </c>
      <c r="C204" t="s">
        <v>359</v>
      </c>
      <c r="D204" s="81"/>
    </row>
    <row r="205" spans="1:4" ht="15.75" customHeight="1" x14ac:dyDescent="0.25">
      <c r="A205">
        <f t="shared" si="5"/>
        <v>16.5</v>
      </c>
      <c r="C205" t="s">
        <v>359</v>
      </c>
      <c r="D205" s="81"/>
    </row>
    <row r="206" spans="1:4" ht="15.75" customHeight="1" x14ac:dyDescent="0.25">
      <c r="A206">
        <f t="shared" si="5"/>
        <v>17</v>
      </c>
      <c r="C206" t="s">
        <v>359</v>
      </c>
      <c r="D206" s="81"/>
    </row>
    <row r="207" spans="1:4" ht="15.75" customHeight="1" x14ac:dyDescent="0.25">
      <c r="A207">
        <f t="shared" si="5"/>
        <v>17.5</v>
      </c>
      <c r="C207" t="s">
        <v>359</v>
      </c>
      <c r="D207" s="81"/>
    </row>
    <row r="208" spans="1:4" ht="15.75" customHeight="1" x14ac:dyDescent="0.25">
      <c r="A208">
        <f t="shared" si="5"/>
        <v>18</v>
      </c>
      <c r="C208" t="s">
        <v>359</v>
      </c>
      <c r="D208" s="81"/>
    </row>
    <row r="209" spans="1:4" ht="15.75" customHeight="1" x14ac:dyDescent="0.25">
      <c r="A209">
        <f t="shared" si="5"/>
        <v>18.5</v>
      </c>
      <c r="C209" t="s">
        <v>359</v>
      </c>
      <c r="D209" s="81"/>
    </row>
    <row r="210" spans="1:4" ht="15.75" customHeight="1" x14ac:dyDescent="0.25">
      <c r="A210">
        <f t="shared" si="5"/>
        <v>19</v>
      </c>
      <c r="C210" t="s">
        <v>359</v>
      </c>
      <c r="D210" s="81"/>
    </row>
    <row r="211" spans="1:4" ht="15.75" customHeight="1" x14ac:dyDescent="0.25">
      <c r="A211">
        <f t="shared" si="5"/>
        <v>19.5</v>
      </c>
      <c r="C211" t="s">
        <v>359</v>
      </c>
      <c r="D211" s="81"/>
    </row>
    <row r="212" spans="1:4" ht="15.75" customHeight="1" x14ac:dyDescent="0.25">
      <c r="A212">
        <f t="shared" si="5"/>
        <v>20</v>
      </c>
      <c r="C212" t="s">
        <v>359</v>
      </c>
      <c r="D212" s="81"/>
    </row>
    <row r="213" spans="1:4" ht="15.75" customHeight="1" x14ac:dyDescent="0.25">
      <c r="A213">
        <f t="shared" si="5"/>
        <v>20.5</v>
      </c>
      <c r="C213" t="s">
        <v>359</v>
      </c>
      <c r="D213" s="81"/>
    </row>
    <row r="214" spans="1:4" ht="15.75" customHeight="1" x14ac:dyDescent="0.25">
      <c r="A214">
        <f t="shared" si="5"/>
        <v>21</v>
      </c>
      <c r="C214" t="s">
        <v>359</v>
      </c>
      <c r="D214" s="81"/>
    </row>
    <row r="215" spans="1:4" ht="15.75" customHeight="1" x14ac:dyDescent="0.25">
      <c r="A215">
        <f t="shared" si="5"/>
        <v>21.5</v>
      </c>
      <c r="C215" t="s">
        <v>359</v>
      </c>
      <c r="D215" s="81"/>
    </row>
    <row r="216" spans="1:4" ht="15.75" customHeight="1" x14ac:dyDescent="0.25">
      <c r="A216">
        <f t="shared" si="5"/>
        <v>22</v>
      </c>
      <c r="C216" t="s">
        <v>359</v>
      </c>
      <c r="D216" s="81"/>
    </row>
    <row r="217" spans="1:4" ht="15.75" customHeight="1" x14ac:dyDescent="0.25">
      <c r="A217">
        <f t="shared" si="5"/>
        <v>22.5</v>
      </c>
      <c r="C217" t="s">
        <v>359</v>
      </c>
      <c r="D217" s="81"/>
    </row>
    <row r="218" spans="1:4" ht="15.75" customHeight="1" x14ac:dyDescent="0.25">
      <c r="A218">
        <f t="shared" si="5"/>
        <v>23</v>
      </c>
      <c r="C218" t="s">
        <v>359</v>
      </c>
      <c r="D218" s="81"/>
    </row>
    <row r="219" spans="1:4" ht="15.75" customHeight="1" x14ac:dyDescent="0.25">
      <c r="A219">
        <f t="shared" si="5"/>
        <v>23.5</v>
      </c>
      <c r="C219" t="s">
        <v>359</v>
      </c>
      <c r="D219" s="81"/>
    </row>
    <row r="220" spans="1:4" ht="15.75" customHeight="1" x14ac:dyDescent="0.25">
      <c r="A220">
        <f t="shared" si="5"/>
        <v>24</v>
      </c>
      <c r="C220" t="s">
        <v>359</v>
      </c>
      <c r="D220" s="81"/>
    </row>
    <row r="221" spans="1:4" ht="15.75" customHeight="1" x14ac:dyDescent="0.25">
      <c r="A221">
        <f t="shared" si="5"/>
        <v>24.5</v>
      </c>
      <c r="C221" t="s">
        <v>359</v>
      </c>
      <c r="D221" s="81"/>
    </row>
    <row r="222" spans="1:4" ht="15.75" customHeight="1" x14ac:dyDescent="0.25">
      <c r="A222">
        <f t="shared" si="5"/>
        <v>25</v>
      </c>
      <c r="C222" t="s">
        <v>359</v>
      </c>
      <c r="D222" s="81"/>
    </row>
    <row r="223" spans="1:4" ht="15.75" customHeight="1" x14ac:dyDescent="0.25">
      <c r="A223">
        <f t="shared" si="5"/>
        <v>25.5</v>
      </c>
      <c r="C223" t="s">
        <v>359</v>
      </c>
      <c r="D223" s="81"/>
    </row>
    <row r="224" spans="1:4" ht="15.75" customHeight="1" x14ac:dyDescent="0.25">
      <c r="A224">
        <f t="shared" si="5"/>
        <v>26</v>
      </c>
      <c r="C224" t="s">
        <v>359</v>
      </c>
      <c r="D224" s="81"/>
    </row>
    <row r="225" spans="1:4" ht="15.75" customHeight="1" x14ac:dyDescent="0.25">
      <c r="A225">
        <f t="shared" si="5"/>
        <v>26.5</v>
      </c>
      <c r="C225" t="s">
        <v>359</v>
      </c>
      <c r="D225" s="81"/>
    </row>
    <row r="226" spans="1:4" ht="15.75" customHeight="1" x14ac:dyDescent="0.25">
      <c r="A226">
        <f t="shared" si="5"/>
        <v>27</v>
      </c>
      <c r="C226" t="s">
        <v>359</v>
      </c>
      <c r="D226" s="81"/>
    </row>
    <row r="227" spans="1:4" ht="15.75" customHeight="1" x14ac:dyDescent="0.25">
      <c r="A227">
        <f t="shared" si="5"/>
        <v>27.5</v>
      </c>
      <c r="C227" t="s">
        <v>359</v>
      </c>
      <c r="D227" s="81"/>
    </row>
    <row r="228" spans="1:4" ht="15.75" customHeight="1" x14ac:dyDescent="0.25">
      <c r="A228">
        <f t="shared" si="5"/>
        <v>28</v>
      </c>
      <c r="C228" t="s">
        <v>359</v>
      </c>
      <c r="D228" s="81"/>
    </row>
    <row r="229" spans="1:4" ht="15.75" customHeight="1" x14ac:dyDescent="0.25">
      <c r="A229">
        <f t="shared" si="5"/>
        <v>28.5</v>
      </c>
      <c r="C229" t="s">
        <v>359</v>
      </c>
      <c r="D229" s="81"/>
    </row>
    <row r="230" spans="1:4" ht="15.75" customHeight="1" x14ac:dyDescent="0.25">
      <c r="A230">
        <f t="shared" si="5"/>
        <v>29</v>
      </c>
      <c r="C230" t="s">
        <v>359</v>
      </c>
      <c r="D230" s="81"/>
    </row>
    <row r="231" spans="1:4" ht="15.75" customHeight="1" x14ac:dyDescent="0.25">
      <c r="A231">
        <f t="shared" si="5"/>
        <v>29.5</v>
      </c>
      <c r="C231" t="s">
        <v>359</v>
      </c>
      <c r="D231" s="81"/>
    </row>
    <row r="232" spans="1:4" ht="15.75" customHeight="1" x14ac:dyDescent="0.25">
      <c r="A232">
        <f t="shared" si="5"/>
        <v>30</v>
      </c>
      <c r="C232" t="s">
        <v>359</v>
      </c>
      <c r="D232" s="81"/>
    </row>
    <row r="233" spans="1:4" ht="15.75" customHeight="1" x14ac:dyDescent="0.25">
      <c r="A233">
        <f t="shared" si="5"/>
        <v>30.5</v>
      </c>
      <c r="C233" t="s">
        <v>359</v>
      </c>
      <c r="D233" s="81"/>
    </row>
    <row r="234" spans="1:4" ht="15.75" customHeight="1" x14ac:dyDescent="0.25">
      <c r="A234">
        <f t="shared" si="5"/>
        <v>31</v>
      </c>
      <c r="C234" t="s">
        <v>359</v>
      </c>
      <c r="D234" s="81"/>
    </row>
    <row r="235" spans="1:4" ht="15.75" customHeight="1" x14ac:dyDescent="0.25">
      <c r="A235">
        <f t="shared" si="5"/>
        <v>31.5</v>
      </c>
      <c r="C235" t="s">
        <v>359</v>
      </c>
      <c r="D235" s="81"/>
    </row>
    <row r="236" spans="1:4" ht="15.75" customHeight="1" x14ac:dyDescent="0.25">
      <c r="A236">
        <f t="shared" si="5"/>
        <v>32</v>
      </c>
      <c r="C236" t="s">
        <v>359</v>
      </c>
      <c r="D236" s="81"/>
    </row>
    <row r="237" spans="1:4" ht="15.75" customHeight="1" x14ac:dyDescent="0.25">
      <c r="A237">
        <f t="shared" si="5"/>
        <v>32.5</v>
      </c>
      <c r="C237" t="s">
        <v>359</v>
      </c>
      <c r="D237" s="81"/>
    </row>
    <row r="238" spans="1:4" ht="15.75" customHeight="1" x14ac:dyDescent="0.25">
      <c r="A238">
        <f t="shared" si="5"/>
        <v>33</v>
      </c>
      <c r="C238" t="s">
        <v>359</v>
      </c>
      <c r="D238" s="81"/>
    </row>
    <row r="239" spans="1:4" ht="15.75" customHeight="1" x14ac:dyDescent="0.25">
      <c r="A239">
        <f t="shared" si="5"/>
        <v>33.5</v>
      </c>
      <c r="C239" t="s">
        <v>359</v>
      </c>
      <c r="D239" s="81"/>
    </row>
    <row r="240" spans="1:4" ht="15.75" customHeight="1" x14ac:dyDescent="0.25">
      <c r="A240">
        <f t="shared" si="5"/>
        <v>34</v>
      </c>
      <c r="C240" t="s">
        <v>359</v>
      </c>
      <c r="D240" s="81"/>
    </row>
    <row r="241" spans="1:4" ht="15.75" customHeight="1" x14ac:dyDescent="0.25">
      <c r="A241">
        <f t="shared" si="5"/>
        <v>34.5</v>
      </c>
      <c r="C241" t="s">
        <v>359</v>
      </c>
      <c r="D241" s="81"/>
    </row>
    <row r="242" spans="1:4" ht="15.75" customHeight="1" x14ac:dyDescent="0.25">
      <c r="A242">
        <f t="shared" si="5"/>
        <v>35</v>
      </c>
      <c r="C242" t="s">
        <v>359</v>
      </c>
      <c r="D242" s="81"/>
    </row>
    <row r="243" spans="1:4" ht="15.75" customHeight="1" x14ac:dyDescent="0.25">
      <c r="A243">
        <f t="shared" si="5"/>
        <v>35.5</v>
      </c>
      <c r="C243" t="s">
        <v>359</v>
      </c>
      <c r="D243" s="81"/>
    </row>
    <row r="244" spans="1:4" ht="15.75" customHeight="1" x14ac:dyDescent="0.25">
      <c r="A244">
        <f t="shared" si="5"/>
        <v>36</v>
      </c>
      <c r="C244" t="s">
        <v>359</v>
      </c>
      <c r="D244" s="81"/>
    </row>
    <row r="245" spans="1:4" ht="15.75" customHeight="1" x14ac:dyDescent="0.25">
      <c r="A245">
        <f t="shared" si="5"/>
        <v>36.5</v>
      </c>
      <c r="C245" t="s">
        <v>359</v>
      </c>
      <c r="D245" s="81"/>
    </row>
    <row r="246" spans="1:4" ht="15.75" customHeight="1" x14ac:dyDescent="0.25">
      <c r="A246">
        <f t="shared" si="5"/>
        <v>37</v>
      </c>
      <c r="C246" t="s">
        <v>359</v>
      </c>
      <c r="D246" s="81"/>
    </row>
    <row r="247" spans="1:4" ht="15.75" customHeight="1" x14ac:dyDescent="0.25">
      <c r="A247">
        <f t="shared" si="5"/>
        <v>37.5</v>
      </c>
      <c r="C247" t="s">
        <v>359</v>
      </c>
      <c r="D247" s="81"/>
    </row>
    <row r="248" spans="1:4" ht="15.75" customHeight="1" x14ac:dyDescent="0.25">
      <c r="A248">
        <f t="shared" si="5"/>
        <v>38</v>
      </c>
      <c r="C248" t="s">
        <v>359</v>
      </c>
      <c r="D248" s="81"/>
    </row>
    <row r="249" spans="1:4" ht="15.75" customHeight="1" x14ac:dyDescent="0.25">
      <c r="A249">
        <f t="shared" si="5"/>
        <v>38.5</v>
      </c>
      <c r="C249" t="s">
        <v>359</v>
      </c>
      <c r="D249" s="81"/>
    </row>
    <row r="250" spans="1:4" ht="15.75" customHeight="1" x14ac:dyDescent="0.25">
      <c r="A250">
        <f t="shared" si="5"/>
        <v>39</v>
      </c>
      <c r="C250" t="s">
        <v>359</v>
      </c>
      <c r="D250" s="81"/>
    </row>
    <row r="251" spans="1:4" ht="15.75" customHeight="1" x14ac:dyDescent="0.25">
      <c r="A251">
        <f t="shared" si="5"/>
        <v>39.5</v>
      </c>
      <c r="C251" t="s">
        <v>359</v>
      </c>
      <c r="D251" s="81"/>
    </row>
    <row r="252" spans="1:4" ht="15.75" customHeight="1" x14ac:dyDescent="0.25">
      <c r="A252">
        <f t="shared" si="5"/>
        <v>40</v>
      </c>
      <c r="C252" t="s">
        <v>359</v>
      </c>
      <c r="D252" s="81"/>
    </row>
    <row r="253" spans="1:4" ht="15.75" customHeight="1" x14ac:dyDescent="0.25">
      <c r="A253">
        <f t="shared" si="5"/>
        <v>40.5</v>
      </c>
      <c r="C253" t="s">
        <v>359</v>
      </c>
      <c r="D253" s="81"/>
    </row>
    <row r="254" spans="1:4" ht="15.75" customHeight="1" x14ac:dyDescent="0.25">
      <c r="A254">
        <f t="shared" si="5"/>
        <v>41</v>
      </c>
      <c r="C254" t="s">
        <v>359</v>
      </c>
      <c r="D254" s="81"/>
    </row>
    <row r="255" spans="1:4" ht="15.75" customHeight="1" x14ac:dyDescent="0.25">
      <c r="A255">
        <f t="shared" si="5"/>
        <v>41.5</v>
      </c>
      <c r="C255" t="s">
        <v>359</v>
      </c>
      <c r="D255" s="81"/>
    </row>
    <row r="256" spans="1:4" ht="15.75" customHeight="1" x14ac:dyDescent="0.25">
      <c r="A256">
        <f t="shared" si="5"/>
        <v>42</v>
      </c>
      <c r="C256" t="s">
        <v>359</v>
      </c>
      <c r="D256" s="81"/>
    </row>
    <row r="257" spans="4:4" ht="15.75" customHeight="1" x14ac:dyDescent="0.25">
      <c r="D257" s="81"/>
    </row>
    <row r="258" spans="4:4" ht="15.75" customHeight="1" x14ac:dyDescent="0.25">
      <c r="D258" s="81"/>
    </row>
    <row r="259" spans="4:4" ht="15.75" customHeight="1" x14ac:dyDescent="0.25">
      <c r="D259" s="81"/>
    </row>
    <row r="260" spans="4:4" ht="15.75" customHeight="1" x14ac:dyDescent="0.25">
      <c r="D260" s="81"/>
    </row>
    <row r="261" spans="4:4" ht="15.75" customHeight="1" x14ac:dyDescent="0.25">
      <c r="D261" s="81"/>
    </row>
    <row r="262" spans="4:4" ht="15.75" customHeight="1" x14ac:dyDescent="0.25">
      <c r="D262" s="81"/>
    </row>
    <row r="263" spans="4:4" ht="15.75" customHeight="1" x14ac:dyDescent="0.25">
      <c r="D263" s="81"/>
    </row>
    <row r="264" spans="4:4" ht="15.75" customHeight="1" x14ac:dyDescent="0.25">
      <c r="D264" s="81"/>
    </row>
    <row r="265" spans="4:4" ht="15.75" customHeight="1" x14ac:dyDescent="0.25">
      <c r="D265" s="81"/>
    </row>
    <row r="266" spans="4:4" ht="15.75" customHeight="1" x14ac:dyDescent="0.25">
      <c r="D266" s="81"/>
    </row>
    <row r="267" spans="4:4" ht="15.75" customHeight="1" x14ac:dyDescent="0.25">
      <c r="D267" s="81"/>
    </row>
    <row r="268" spans="4:4" ht="15.75" customHeight="1" x14ac:dyDescent="0.25">
      <c r="D268" s="81"/>
    </row>
    <row r="269" spans="4:4" ht="15.75" customHeight="1" x14ac:dyDescent="0.25">
      <c r="D269" s="81"/>
    </row>
    <row r="270" spans="4:4" ht="15.75" customHeight="1" x14ac:dyDescent="0.25">
      <c r="D270" s="81"/>
    </row>
    <row r="271" spans="4:4" ht="15.75" customHeight="1" x14ac:dyDescent="0.25">
      <c r="D271" s="81"/>
    </row>
    <row r="272" spans="4:4" ht="15.75" customHeight="1" x14ac:dyDescent="0.25">
      <c r="D272" s="81"/>
    </row>
    <row r="273" spans="4:4" ht="15.75" customHeight="1" x14ac:dyDescent="0.25">
      <c r="D273" s="81"/>
    </row>
    <row r="274" spans="4:4" ht="15.75" customHeight="1" x14ac:dyDescent="0.25">
      <c r="D274" s="81"/>
    </row>
    <row r="275" spans="4:4" ht="15.75" customHeight="1" x14ac:dyDescent="0.25">
      <c r="D275" s="81"/>
    </row>
    <row r="276" spans="4:4" ht="15.75" customHeight="1" x14ac:dyDescent="0.25">
      <c r="D276" s="81"/>
    </row>
    <row r="277" spans="4:4" ht="15.75" customHeight="1" x14ac:dyDescent="0.25">
      <c r="D277" s="81"/>
    </row>
    <row r="278" spans="4:4" ht="15.75" customHeight="1" x14ac:dyDescent="0.25">
      <c r="D278" s="81"/>
    </row>
    <row r="279" spans="4:4" ht="15.75" customHeight="1" x14ac:dyDescent="0.25">
      <c r="D279" s="81"/>
    </row>
    <row r="280" spans="4:4" ht="15.75" customHeight="1" x14ac:dyDescent="0.25">
      <c r="D280" s="81"/>
    </row>
    <row r="281" spans="4:4" ht="15.75" customHeight="1" x14ac:dyDescent="0.25">
      <c r="D281" s="81"/>
    </row>
    <row r="282" spans="4:4" ht="15.75" customHeight="1" x14ac:dyDescent="0.25">
      <c r="D282" s="81"/>
    </row>
    <row r="283" spans="4:4" ht="15.75" customHeight="1" x14ac:dyDescent="0.25">
      <c r="D283" s="81"/>
    </row>
    <row r="284" spans="4:4" ht="15.75" customHeight="1" x14ac:dyDescent="0.25">
      <c r="D284" s="81"/>
    </row>
    <row r="285" spans="4:4" ht="15.75" customHeight="1" x14ac:dyDescent="0.25">
      <c r="D285" s="81"/>
    </row>
    <row r="286" spans="4:4" ht="15.75" customHeight="1" x14ac:dyDescent="0.25">
      <c r="D286" s="81"/>
    </row>
    <row r="287" spans="4:4" ht="15.75" customHeight="1" x14ac:dyDescent="0.25">
      <c r="D287" s="81"/>
    </row>
    <row r="288" spans="4:4" ht="15.75" customHeight="1" x14ac:dyDescent="0.25">
      <c r="D288" s="81"/>
    </row>
    <row r="289" spans="4:4" ht="15.75" customHeight="1" x14ac:dyDescent="0.25">
      <c r="D289" s="81"/>
    </row>
    <row r="290" spans="4:4" ht="15.75" customHeight="1" x14ac:dyDescent="0.25">
      <c r="D290" s="81"/>
    </row>
    <row r="291" spans="4:4" ht="15.75" customHeight="1" x14ac:dyDescent="0.25">
      <c r="D291" s="81"/>
    </row>
    <row r="292" spans="4:4" ht="15.75" customHeight="1" x14ac:dyDescent="0.25">
      <c r="D292" s="81"/>
    </row>
    <row r="293" spans="4:4" ht="15.75" customHeight="1" x14ac:dyDescent="0.25">
      <c r="D293" s="81"/>
    </row>
    <row r="294" spans="4:4" ht="15.75" customHeight="1" x14ac:dyDescent="0.25">
      <c r="D294" s="81"/>
    </row>
    <row r="295" spans="4:4" ht="15.75" customHeight="1" x14ac:dyDescent="0.25">
      <c r="D295" s="81"/>
    </row>
    <row r="296" spans="4:4" ht="15.75" customHeight="1" x14ac:dyDescent="0.25">
      <c r="D296" s="81"/>
    </row>
    <row r="297" spans="4:4" ht="15.75" customHeight="1" x14ac:dyDescent="0.25">
      <c r="D297" s="81"/>
    </row>
    <row r="298" spans="4:4" ht="15.75" customHeight="1" x14ac:dyDescent="0.25">
      <c r="D298" s="81"/>
    </row>
    <row r="299" spans="4:4" ht="15.75" customHeight="1" x14ac:dyDescent="0.25">
      <c r="D299" s="81"/>
    </row>
    <row r="300" spans="4:4" ht="15.75" customHeight="1" x14ac:dyDescent="0.25">
      <c r="D300" s="81"/>
    </row>
    <row r="301" spans="4:4" ht="15.75" customHeight="1" x14ac:dyDescent="0.25">
      <c r="D301" s="81"/>
    </row>
    <row r="302" spans="4:4" ht="15.75" customHeight="1" x14ac:dyDescent="0.25">
      <c r="D302" s="81"/>
    </row>
    <row r="303" spans="4:4" ht="15.75" customHeight="1" x14ac:dyDescent="0.25">
      <c r="D303" s="81"/>
    </row>
    <row r="304" spans="4:4" ht="15.75" customHeight="1" x14ac:dyDescent="0.25">
      <c r="D304" s="81"/>
    </row>
    <row r="305" spans="4:4" ht="15.75" customHeight="1" x14ac:dyDescent="0.25">
      <c r="D305" s="81"/>
    </row>
    <row r="306" spans="4:4" ht="15.75" customHeight="1" x14ac:dyDescent="0.25">
      <c r="D306" s="81"/>
    </row>
    <row r="307" spans="4:4" ht="15.75" customHeight="1" x14ac:dyDescent="0.25">
      <c r="D307" s="81"/>
    </row>
    <row r="308" spans="4:4" ht="15.75" customHeight="1" x14ac:dyDescent="0.25">
      <c r="D308" s="81"/>
    </row>
    <row r="309" spans="4:4" ht="15.75" customHeight="1" x14ac:dyDescent="0.25">
      <c r="D309" s="81"/>
    </row>
    <row r="310" spans="4:4" ht="15.75" customHeight="1" x14ac:dyDescent="0.25">
      <c r="D310" s="81"/>
    </row>
    <row r="311" spans="4:4" ht="15.75" customHeight="1" x14ac:dyDescent="0.25">
      <c r="D311" s="81"/>
    </row>
    <row r="312" spans="4:4" ht="15.75" customHeight="1" x14ac:dyDescent="0.25">
      <c r="D312" s="81"/>
    </row>
    <row r="313" spans="4:4" ht="15.75" customHeight="1" x14ac:dyDescent="0.25">
      <c r="D313" s="81"/>
    </row>
    <row r="314" spans="4:4" ht="15.75" customHeight="1" x14ac:dyDescent="0.25">
      <c r="D314" s="81"/>
    </row>
    <row r="315" spans="4:4" ht="15.75" customHeight="1" x14ac:dyDescent="0.25">
      <c r="D315" s="81"/>
    </row>
    <row r="316" spans="4:4" ht="15.75" customHeight="1" x14ac:dyDescent="0.25">
      <c r="D316" s="81"/>
    </row>
    <row r="317" spans="4:4" ht="15.75" customHeight="1" x14ac:dyDescent="0.25">
      <c r="D317" s="81"/>
    </row>
    <row r="318" spans="4:4" ht="15.75" customHeight="1" x14ac:dyDescent="0.25">
      <c r="D318" s="81"/>
    </row>
    <row r="319" spans="4:4" ht="15.75" customHeight="1" x14ac:dyDescent="0.25">
      <c r="D319" s="81"/>
    </row>
    <row r="320" spans="4:4" ht="15.75" customHeight="1" x14ac:dyDescent="0.25">
      <c r="D320" s="81"/>
    </row>
    <row r="321" spans="4:4" ht="15.75" customHeight="1" x14ac:dyDescent="0.25">
      <c r="D321" s="81"/>
    </row>
    <row r="322" spans="4:4" ht="15.75" customHeight="1" x14ac:dyDescent="0.25">
      <c r="D322" s="81"/>
    </row>
    <row r="323" spans="4:4" ht="15.75" customHeight="1" x14ac:dyDescent="0.25">
      <c r="D323" s="81"/>
    </row>
    <row r="324" spans="4:4" ht="15.75" customHeight="1" x14ac:dyDescent="0.25">
      <c r="D324" s="81"/>
    </row>
    <row r="325" spans="4:4" ht="15.75" customHeight="1" x14ac:dyDescent="0.25">
      <c r="D325" s="81"/>
    </row>
    <row r="326" spans="4:4" ht="15.75" customHeight="1" x14ac:dyDescent="0.25">
      <c r="D326" s="81"/>
    </row>
    <row r="327" spans="4:4" ht="15.75" customHeight="1" x14ac:dyDescent="0.25">
      <c r="D327" s="81"/>
    </row>
    <row r="328" spans="4:4" ht="15.75" customHeight="1" x14ac:dyDescent="0.25">
      <c r="D328" s="81"/>
    </row>
    <row r="329" spans="4:4" ht="15.75" customHeight="1" x14ac:dyDescent="0.25">
      <c r="D329" s="81"/>
    </row>
    <row r="330" spans="4:4" ht="15.75" customHeight="1" x14ac:dyDescent="0.25">
      <c r="D330" s="81"/>
    </row>
    <row r="331" spans="4:4" ht="15.75" customHeight="1" x14ac:dyDescent="0.25">
      <c r="D331" s="81"/>
    </row>
    <row r="332" spans="4:4" ht="15.75" customHeight="1" x14ac:dyDescent="0.25">
      <c r="D332" s="81"/>
    </row>
    <row r="333" spans="4:4" ht="15.75" customHeight="1" x14ac:dyDescent="0.25">
      <c r="D333" s="81"/>
    </row>
    <row r="334" spans="4:4" ht="15.75" customHeight="1" x14ac:dyDescent="0.25">
      <c r="D334" s="81"/>
    </row>
    <row r="335" spans="4:4" ht="15.75" customHeight="1" x14ac:dyDescent="0.25">
      <c r="D335" s="81"/>
    </row>
    <row r="336" spans="4:4" ht="15.75" customHeight="1" x14ac:dyDescent="0.25">
      <c r="D336" s="81"/>
    </row>
    <row r="337" spans="4:4" ht="15.75" customHeight="1" x14ac:dyDescent="0.25">
      <c r="D337" s="81"/>
    </row>
    <row r="338" spans="4:4" ht="15.75" customHeight="1" x14ac:dyDescent="0.25">
      <c r="D338" s="81"/>
    </row>
    <row r="339" spans="4:4" ht="15.75" customHeight="1" x14ac:dyDescent="0.25">
      <c r="D339" s="81"/>
    </row>
    <row r="340" spans="4:4" ht="15.75" customHeight="1" x14ac:dyDescent="0.25">
      <c r="D340" s="81"/>
    </row>
    <row r="341" spans="4:4" ht="15.75" customHeight="1" x14ac:dyDescent="0.25">
      <c r="D341" s="81"/>
    </row>
    <row r="342" spans="4:4" ht="15.75" customHeight="1" x14ac:dyDescent="0.25">
      <c r="D342" s="81"/>
    </row>
    <row r="343" spans="4:4" ht="15.75" customHeight="1" x14ac:dyDescent="0.25">
      <c r="D343" s="81"/>
    </row>
    <row r="344" spans="4:4" ht="15.75" customHeight="1" x14ac:dyDescent="0.25">
      <c r="D344" s="81"/>
    </row>
    <row r="345" spans="4:4" ht="15.75" customHeight="1" x14ac:dyDescent="0.25">
      <c r="D345" s="81"/>
    </row>
    <row r="346" spans="4:4" ht="15.75" customHeight="1" x14ac:dyDescent="0.25">
      <c r="D346" s="81"/>
    </row>
    <row r="347" spans="4:4" ht="15.75" customHeight="1" x14ac:dyDescent="0.25">
      <c r="D347" s="81"/>
    </row>
    <row r="348" spans="4:4" ht="15.75" customHeight="1" x14ac:dyDescent="0.25">
      <c r="D348" s="81"/>
    </row>
    <row r="349" spans="4:4" ht="15.75" customHeight="1" x14ac:dyDescent="0.25">
      <c r="D349" s="81"/>
    </row>
    <row r="350" spans="4:4" ht="15.75" customHeight="1" x14ac:dyDescent="0.25">
      <c r="D350" s="81"/>
    </row>
    <row r="351" spans="4:4" ht="15.75" customHeight="1" x14ac:dyDescent="0.25">
      <c r="D351" s="81"/>
    </row>
    <row r="352" spans="4:4" ht="15.75" customHeight="1" x14ac:dyDescent="0.25">
      <c r="D352" s="81"/>
    </row>
    <row r="353" spans="4:4" ht="15.75" customHeight="1" x14ac:dyDescent="0.25">
      <c r="D353" s="81"/>
    </row>
    <row r="354" spans="4:4" ht="15.75" customHeight="1" x14ac:dyDescent="0.25">
      <c r="D354" s="81"/>
    </row>
    <row r="355" spans="4:4" ht="15.75" customHeight="1" x14ac:dyDescent="0.25">
      <c r="D355" s="81"/>
    </row>
    <row r="356" spans="4:4" ht="15.75" customHeight="1" x14ac:dyDescent="0.25">
      <c r="D356" s="81"/>
    </row>
    <row r="357" spans="4:4" ht="15.75" customHeight="1" x14ac:dyDescent="0.25">
      <c r="D357" s="81"/>
    </row>
    <row r="358" spans="4:4" ht="15.75" customHeight="1" x14ac:dyDescent="0.25">
      <c r="D358" s="81"/>
    </row>
    <row r="359" spans="4:4" ht="15.75" customHeight="1" x14ac:dyDescent="0.25">
      <c r="D359" s="81"/>
    </row>
    <row r="360" spans="4:4" ht="15.75" customHeight="1" x14ac:dyDescent="0.25">
      <c r="D360" s="81"/>
    </row>
    <row r="361" spans="4:4" ht="15.75" customHeight="1" x14ac:dyDescent="0.25">
      <c r="D361" s="81"/>
    </row>
    <row r="362" spans="4:4" ht="15.75" customHeight="1" x14ac:dyDescent="0.25">
      <c r="D362" s="81"/>
    </row>
    <row r="363" spans="4:4" ht="15.75" customHeight="1" x14ac:dyDescent="0.25">
      <c r="D363" s="81"/>
    </row>
    <row r="364" spans="4:4" ht="15.75" customHeight="1" x14ac:dyDescent="0.25">
      <c r="D364" s="81"/>
    </row>
    <row r="365" spans="4:4" ht="15.75" customHeight="1" x14ac:dyDescent="0.25">
      <c r="D365" s="81"/>
    </row>
    <row r="366" spans="4:4" ht="15.75" customHeight="1" x14ac:dyDescent="0.25">
      <c r="D366" s="81"/>
    </row>
    <row r="367" spans="4:4" ht="15.75" customHeight="1" x14ac:dyDescent="0.25">
      <c r="D367" s="81"/>
    </row>
    <row r="368" spans="4:4" ht="15.75" customHeight="1" x14ac:dyDescent="0.25">
      <c r="D368" s="81"/>
    </row>
    <row r="369" spans="4:4" ht="15.75" customHeight="1" x14ac:dyDescent="0.25">
      <c r="D369" s="81"/>
    </row>
    <row r="370" spans="4:4" ht="15.75" customHeight="1" x14ac:dyDescent="0.25">
      <c r="D370" s="81"/>
    </row>
    <row r="371" spans="4:4" ht="15.75" customHeight="1" x14ac:dyDescent="0.25">
      <c r="D371" s="81"/>
    </row>
    <row r="372" spans="4:4" ht="15.75" customHeight="1" x14ac:dyDescent="0.25">
      <c r="D372" s="81"/>
    </row>
    <row r="373" spans="4:4" ht="15.75" customHeight="1" x14ac:dyDescent="0.25">
      <c r="D373" s="81"/>
    </row>
    <row r="374" spans="4:4" ht="15.75" customHeight="1" x14ac:dyDescent="0.25">
      <c r="D374" s="81"/>
    </row>
    <row r="375" spans="4:4" ht="15.75" customHeight="1" x14ac:dyDescent="0.25">
      <c r="D375" s="81"/>
    </row>
    <row r="376" spans="4:4" ht="15.75" customHeight="1" x14ac:dyDescent="0.25">
      <c r="D376" s="81"/>
    </row>
    <row r="377" spans="4:4" ht="15.75" customHeight="1" x14ac:dyDescent="0.25">
      <c r="D377" s="81"/>
    </row>
    <row r="378" spans="4:4" ht="15.75" customHeight="1" x14ac:dyDescent="0.25">
      <c r="D378" s="81"/>
    </row>
    <row r="379" spans="4:4" ht="15.75" customHeight="1" x14ac:dyDescent="0.25">
      <c r="D379" s="81"/>
    </row>
    <row r="380" spans="4:4" ht="15.75" customHeight="1" x14ac:dyDescent="0.25">
      <c r="D380" s="81"/>
    </row>
    <row r="381" spans="4:4" ht="15.75" customHeight="1" x14ac:dyDescent="0.25">
      <c r="D381" s="81"/>
    </row>
    <row r="382" spans="4:4" ht="15.75" customHeight="1" x14ac:dyDescent="0.25">
      <c r="D382" s="81"/>
    </row>
    <row r="383" spans="4:4" ht="15.75" customHeight="1" x14ac:dyDescent="0.25">
      <c r="D383" s="81"/>
    </row>
    <row r="384" spans="4:4" ht="15.75" customHeight="1" x14ac:dyDescent="0.25">
      <c r="D384" s="81"/>
    </row>
    <row r="385" spans="4:4" ht="15.75" customHeight="1" x14ac:dyDescent="0.25">
      <c r="D385" s="81"/>
    </row>
    <row r="386" spans="4:4" ht="15.75" customHeight="1" x14ac:dyDescent="0.25">
      <c r="D386" s="81"/>
    </row>
    <row r="387" spans="4:4" ht="15.75" customHeight="1" x14ac:dyDescent="0.25">
      <c r="D387" s="81"/>
    </row>
    <row r="388" spans="4:4" ht="15.75" customHeight="1" x14ac:dyDescent="0.25">
      <c r="D388" s="81"/>
    </row>
    <row r="389" spans="4:4" ht="15.75" customHeight="1" x14ac:dyDescent="0.25">
      <c r="D389" s="81"/>
    </row>
    <row r="390" spans="4:4" ht="15.75" customHeight="1" x14ac:dyDescent="0.25">
      <c r="D390" s="81"/>
    </row>
    <row r="391" spans="4:4" ht="15.75" customHeight="1" x14ac:dyDescent="0.25">
      <c r="D391" s="81"/>
    </row>
    <row r="392" spans="4:4" ht="15.75" customHeight="1" x14ac:dyDescent="0.25">
      <c r="D392" s="81"/>
    </row>
    <row r="393" spans="4:4" ht="15.75" customHeight="1" x14ac:dyDescent="0.25">
      <c r="D393" s="81"/>
    </row>
    <row r="394" spans="4:4" ht="15.75" customHeight="1" x14ac:dyDescent="0.25">
      <c r="D394" s="81"/>
    </row>
    <row r="395" spans="4:4" ht="15.75" customHeight="1" x14ac:dyDescent="0.25">
      <c r="D395" s="81"/>
    </row>
    <row r="396" spans="4:4" ht="15.75" customHeight="1" x14ac:dyDescent="0.25">
      <c r="D396" s="81"/>
    </row>
    <row r="397" spans="4:4" ht="15.75" customHeight="1" x14ac:dyDescent="0.25">
      <c r="D397" s="81"/>
    </row>
    <row r="398" spans="4:4" ht="15.75" customHeight="1" x14ac:dyDescent="0.25">
      <c r="D398" s="81"/>
    </row>
    <row r="399" spans="4:4" ht="15.75" customHeight="1" x14ac:dyDescent="0.25">
      <c r="D399" s="81"/>
    </row>
    <row r="400" spans="4:4" ht="15.75" customHeight="1" x14ac:dyDescent="0.25">
      <c r="D400" s="81"/>
    </row>
    <row r="401" spans="4:4" ht="15.75" customHeight="1" x14ac:dyDescent="0.25">
      <c r="D401" s="81"/>
    </row>
    <row r="402" spans="4:4" ht="15.75" customHeight="1" x14ac:dyDescent="0.25">
      <c r="D402" s="81"/>
    </row>
    <row r="403" spans="4:4" ht="15.75" customHeight="1" x14ac:dyDescent="0.25">
      <c r="D403" s="81"/>
    </row>
    <row r="404" spans="4:4" ht="15.75" customHeight="1" x14ac:dyDescent="0.25">
      <c r="D404" s="81"/>
    </row>
    <row r="405" spans="4:4" ht="15.75" customHeight="1" x14ac:dyDescent="0.25">
      <c r="D405" s="81"/>
    </row>
    <row r="406" spans="4:4" ht="15.75" customHeight="1" x14ac:dyDescent="0.25">
      <c r="D406" s="81"/>
    </row>
    <row r="407" spans="4:4" ht="15.75" customHeight="1" x14ac:dyDescent="0.25">
      <c r="D407" s="81"/>
    </row>
    <row r="408" spans="4:4" ht="15.75" customHeight="1" x14ac:dyDescent="0.25">
      <c r="D408" s="81"/>
    </row>
    <row r="409" spans="4:4" ht="15.75" customHeight="1" x14ac:dyDescent="0.25">
      <c r="D409" s="81"/>
    </row>
    <row r="410" spans="4:4" ht="15.75" customHeight="1" x14ac:dyDescent="0.25">
      <c r="D410" s="81"/>
    </row>
    <row r="411" spans="4:4" ht="15.75" customHeight="1" x14ac:dyDescent="0.25">
      <c r="D411" s="81"/>
    </row>
    <row r="412" spans="4:4" ht="15.75" customHeight="1" x14ac:dyDescent="0.25">
      <c r="D412" s="81"/>
    </row>
    <row r="413" spans="4:4" ht="15.75" customHeight="1" x14ac:dyDescent="0.25">
      <c r="D413" s="81"/>
    </row>
    <row r="414" spans="4:4" ht="15.75" customHeight="1" x14ac:dyDescent="0.25">
      <c r="D414" s="81"/>
    </row>
    <row r="415" spans="4:4" ht="15.75" customHeight="1" x14ac:dyDescent="0.25">
      <c r="D415" s="81"/>
    </row>
    <row r="416" spans="4:4" ht="15.75" customHeight="1" x14ac:dyDescent="0.25">
      <c r="D416" s="81"/>
    </row>
    <row r="417" spans="4:4" ht="15.75" customHeight="1" x14ac:dyDescent="0.25">
      <c r="D417" s="81"/>
    </row>
    <row r="418" spans="4:4" ht="15.75" customHeight="1" x14ac:dyDescent="0.25">
      <c r="D418" s="81"/>
    </row>
    <row r="419" spans="4:4" ht="15.75" customHeight="1" x14ac:dyDescent="0.25">
      <c r="D419" s="81"/>
    </row>
    <row r="420" spans="4:4" ht="15.75" customHeight="1" x14ac:dyDescent="0.25">
      <c r="D420" s="81"/>
    </row>
    <row r="421" spans="4:4" ht="15.75" customHeight="1" x14ac:dyDescent="0.25">
      <c r="D421" s="81"/>
    </row>
    <row r="422" spans="4:4" ht="15.75" customHeight="1" x14ac:dyDescent="0.25">
      <c r="D422" s="81"/>
    </row>
    <row r="423" spans="4:4" ht="15.75" customHeight="1" x14ac:dyDescent="0.25">
      <c r="D423" s="81"/>
    </row>
    <row r="424" spans="4:4" ht="15.75" customHeight="1" x14ac:dyDescent="0.25">
      <c r="D424" s="81"/>
    </row>
    <row r="425" spans="4:4" ht="15.75" customHeight="1" x14ac:dyDescent="0.25">
      <c r="D425" s="81"/>
    </row>
    <row r="426" spans="4:4" ht="15.75" customHeight="1" x14ac:dyDescent="0.25">
      <c r="D426" s="81"/>
    </row>
    <row r="427" spans="4:4" ht="15.75" customHeight="1" x14ac:dyDescent="0.25">
      <c r="D427" s="81"/>
    </row>
    <row r="428" spans="4:4" ht="15.75" customHeight="1" x14ac:dyDescent="0.25">
      <c r="D428" s="81"/>
    </row>
    <row r="429" spans="4:4" ht="15.75" customHeight="1" x14ac:dyDescent="0.25">
      <c r="D429" s="81"/>
    </row>
    <row r="430" spans="4:4" ht="15.75" customHeight="1" x14ac:dyDescent="0.25">
      <c r="D430" s="81"/>
    </row>
    <row r="431" spans="4:4" ht="15.75" customHeight="1" x14ac:dyDescent="0.25">
      <c r="D431" s="81"/>
    </row>
    <row r="432" spans="4:4" ht="15.75" customHeight="1" x14ac:dyDescent="0.25">
      <c r="D432" s="81"/>
    </row>
    <row r="433" spans="4:4" ht="15.75" customHeight="1" x14ac:dyDescent="0.25">
      <c r="D433" s="81"/>
    </row>
    <row r="434" spans="4:4" ht="15.75" customHeight="1" x14ac:dyDescent="0.25">
      <c r="D434" s="81"/>
    </row>
    <row r="435" spans="4:4" ht="15.75" customHeight="1" x14ac:dyDescent="0.25">
      <c r="D435" s="81"/>
    </row>
    <row r="436" spans="4:4" ht="15.75" customHeight="1" x14ac:dyDescent="0.25">
      <c r="D436" s="81"/>
    </row>
    <row r="437" spans="4:4" ht="15.75" customHeight="1" x14ac:dyDescent="0.25">
      <c r="D437" s="81"/>
    </row>
    <row r="438" spans="4:4" ht="15.75" customHeight="1" x14ac:dyDescent="0.25">
      <c r="D438" s="81"/>
    </row>
    <row r="439" spans="4:4" ht="15.75" customHeight="1" x14ac:dyDescent="0.25">
      <c r="D439" s="81"/>
    </row>
    <row r="440" spans="4:4" ht="15.75" customHeight="1" x14ac:dyDescent="0.25">
      <c r="D440" s="81"/>
    </row>
    <row r="441" spans="4:4" ht="15.75" customHeight="1" x14ac:dyDescent="0.25">
      <c r="D441" s="81"/>
    </row>
    <row r="442" spans="4:4" ht="15.75" customHeight="1" x14ac:dyDescent="0.25">
      <c r="D442" s="81"/>
    </row>
    <row r="443" spans="4:4" ht="15.75" customHeight="1" x14ac:dyDescent="0.25">
      <c r="D443" s="81"/>
    </row>
    <row r="444" spans="4:4" ht="15.75" customHeight="1" x14ac:dyDescent="0.25">
      <c r="D444" s="81"/>
    </row>
    <row r="445" spans="4:4" ht="15.75" customHeight="1" x14ac:dyDescent="0.25">
      <c r="D445" s="81"/>
    </row>
    <row r="446" spans="4:4" ht="15.75" customHeight="1" x14ac:dyDescent="0.25">
      <c r="D446" s="81"/>
    </row>
    <row r="447" spans="4:4" ht="15.75" customHeight="1" x14ac:dyDescent="0.25">
      <c r="D447" s="81"/>
    </row>
    <row r="448" spans="4:4" ht="15.75" customHeight="1" x14ac:dyDescent="0.25">
      <c r="D448" s="81"/>
    </row>
    <row r="449" spans="4:4" ht="15.75" customHeight="1" x14ac:dyDescent="0.25">
      <c r="D449" s="81"/>
    </row>
    <row r="450" spans="4:4" ht="15.75" customHeight="1" x14ac:dyDescent="0.25">
      <c r="D450" s="81"/>
    </row>
    <row r="451" spans="4:4" ht="15.75" customHeight="1" x14ac:dyDescent="0.25">
      <c r="D451" s="81"/>
    </row>
    <row r="452" spans="4:4" ht="15.75" customHeight="1" x14ac:dyDescent="0.25">
      <c r="D452" s="81"/>
    </row>
    <row r="453" spans="4:4" ht="15.75" customHeight="1" x14ac:dyDescent="0.25">
      <c r="D453" s="81"/>
    </row>
    <row r="454" spans="4:4" ht="15.75" customHeight="1" x14ac:dyDescent="0.25">
      <c r="D454" s="81"/>
    </row>
    <row r="455" spans="4:4" ht="15.75" customHeight="1" x14ac:dyDescent="0.25">
      <c r="D455" s="81"/>
    </row>
    <row r="456" spans="4:4" ht="15.75" customHeight="1" x14ac:dyDescent="0.25">
      <c r="D456" s="81"/>
    </row>
    <row r="457" spans="4:4" ht="15.75" customHeight="1" x14ac:dyDescent="0.25"/>
    <row r="458" spans="4:4" ht="15.75" customHeight="1" x14ac:dyDescent="0.25"/>
    <row r="459" spans="4:4" ht="15.75" customHeight="1" x14ac:dyDescent="0.25"/>
    <row r="460" spans="4:4" ht="15.75" customHeight="1" x14ac:dyDescent="0.25"/>
    <row r="461" spans="4:4" ht="15.75" customHeight="1" x14ac:dyDescent="0.25"/>
    <row r="462" spans="4:4" ht="15.75" customHeight="1" x14ac:dyDescent="0.25"/>
    <row r="463" spans="4:4" ht="15.75" customHeight="1" x14ac:dyDescent="0.25"/>
    <row r="464" spans="4: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" customHeight="1" x14ac:dyDescent="0.25"/>
  <cols>
    <col min="1" max="1" width="12.6640625" customWidth="1"/>
    <col min="2" max="2" width="16.77734375" customWidth="1"/>
    <col min="3" max="3" width="13.109375" customWidth="1"/>
    <col min="4" max="4" width="11.33203125" customWidth="1"/>
    <col min="5" max="7" width="12.6640625" customWidth="1"/>
    <col min="8" max="8" width="12.44140625" customWidth="1"/>
    <col min="9" max="9" width="11.109375" customWidth="1"/>
    <col min="12" max="12" width="21.6640625" customWidth="1"/>
    <col min="13" max="13" width="17.33203125" customWidth="1"/>
  </cols>
  <sheetData>
    <row r="1" spans="1:14" ht="15.75" customHeight="1" x14ac:dyDescent="0.25">
      <c r="A1" s="72" t="s">
        <v>292</v>
      </c>
      <c r="B1" s="72"/>
      <c r="C1" s="72" t="s">
        <v>293</v>
      </c>
      <c r="D1" s="73" t="s">
        <v>294</v>
      </c>
      <c r="F1" s="65" t="s">
        <v>295</v>
      </c>
      <c r="G1" s="65" t="s">
        <v>296</v>
      </c>
      <c r="H1" s="72" t="s">
        <v>247</v>
      </c>
      <c r="I1" s="72" t="s">
        <v>240</v>
      </c>
      <c r="J1" s="65" t="s">
        <v>297</v>
      </c>
      <c r="K1" s="72" t="s">
        <v>298</v>
      </c>
      <c r="L1" s="72" t="s">
        <v>299</v>
      </c>
      <c r="M1" s="2" t="s">
        <v>300</v>
      </c>
    </row>
    <row r="2" spans="1:14" ht="15.75" customHeight="1" x14ac:dyDescent="0.25">
      <c r="A2" t="e">
        <f>'[1]Irrelevant Example'!K12</f>
        <v>#REF!</v>
      </c>
      <c r="B2" s="65" t="s">
        <v>301</v>
      </c>
      <c r="C2" s="74"/>
      <c r="D2" s="74"/>
      <c r="H2" s="75"/>
      <c r="I2" s="75"/>
      <c r="K2" s="76"/>
      <c r="L2" s="76"/>
      <c r="M2" s="65"/>
      <c r="N2" s="65"/>
    </row>
    <row r="3" spans="1:14" ht="15.75" customHeight="1" x14ac:dyDescent="0.25">
      <c r="A3" s="77" t="e">
        <f>'[1]Irrelevant Example'!K9</f>
        <v>#REF!</v>
      </c>
      <c r="B3" s="65" t="s">
        <v>283</v>
      </c>
      <c r="C3" s="74"/>
      <c r="D3" s="74"/>
      <c r="H3" s="75"/>
      <c r="I3" s="75"/>
      <c r="K3" s="76"/>
      <c r="L3" s="76"/>
      <c r="M3" s="65"/>
    </row>
    <row r="4" spans="1:14" ht="15.75" customHeight="1" x14ac:dyDescent="0.25">
      <c r="A4" s="65">
        <v>4</v>
      </c>
      <c r="B4" s="78"/>
      <c r="C4" s="79">
        <f>(('Performance Calculator'!$B$37/(((2)*M4-'Systems Param+Perf'!$C$66+'Systems Param+Perf'!$C$76+'Systems Param+Perf'!$C$83+'Systems Param+Perf'!$C$86)))/60)</f>
        <v>8.4982740742924854</v>
      </c>
      <c r="D4" s="74">
        <f t="shared" ref="D4:D80" si="0">C4*60*A4/1000</f>
        <v>2.0395857778301965</v>
      </c>
      <c r="F4" s="2">
        <f>0.5*('Aerodynamic Perf'!$B$24*A4^2*H4*'Aerodynamic Perf'!$B$14)</f>
        <v>46.665620260787897</v>
      </c>
      <c r="G4">
        <f t="shared" ref="G4:G80" si="1">F4/9.81</f>
        <v>4.7569439613443318</v>
      </c>
      <c r="H4" s="75">
        <f>('Aerodynamic Perf'!$B$21+'Aerodynamic Perf'!$B$29+'Aerodynamic Perf'!$B$2+'Aerodynamic Perf'!$B$28+'Aerodynamic Perf'!$B$5)+I4^2/(PI()*'Aerodynamic Perf'!$B$7*'Aerodynamic Perf'!$B$10)</f>
        <v>5.7148949887586209</v>
      </c>
      <c r="I4" s="75">
        <f>('Aircraft W+B'!$C$61)/(0.5*'Aerodynamic Perf'!$B$24*A4^2*'Aerodynamic Perf'!$B$14)</f>
        <v>13.677384823848239</v>
      </c>
      <c r="J4">
        <f>I4*0.5*'Aerodynamic Perf'!$B$24*A4^2*'Aerodynamic Perf'!$B$14</f>
        <v>111.68423000000001</v>
      </c>
      <c r="K4" s="76">
        <f t="shared" ref="K4:K80" si="2">I4/H4</f>
        <v>2.3932871646376856</v>
      </c>
      <c r="L4" s="76">
        <f>M4/'Systems Param+Perf'!$C$58</f>
        <v>55.210894688142282</v>
      </c>
      <c r="M4" s="2">
        <f>('Systems Param+Perf'!$C$4*((G4)^2)+'Systems Param+Perf'!$C$5*((G4))+'Systems Param+Perf'!$C$6)</f>
        <v>1225.6818620767588</v>
      </c>
    </row>
    <row r="5" spans="1:14" ht="15.75" customHeight="1" x14ac:dyDescent="0.25">
      <c r="A5" s="65">
        <f t="shared" ref="A5:A80" si="3">A4+0.5</f>
        <v>4.5</v>
      </c>
      <c r="B5" s="78"/>
      <c r="C5" s="79">
        <f>(('Performance Calculator'!$B$37/(((2)*M5-'Systems Param+Perf'!$C$66+'Systems Param+Perf'!$C$76+'Systems Param+Perf'!$C$83+'Systems Param+Perf'!$C$86)))/60)</f>
        <v>12.450042962369498</v>
      </c>
      <c r="D5" s="74">
        <f t="shared" si="0"/>
        <v>3.3615115998397642</v>
      </c>
      <c r="F5" s="2">
        <f>0.5*('Aerodynamic Perf'!$B$24*A5^2*H5*'Aerodynamic Perf'!$B$14)</f>
        <v>36.933725378296764</v>
      </c>
      <c r="G5">
        <f t="shared" si="1"/>
        <v>3.7649057470231155</v>
      </c>
      <c r="H5" s="75">
        <f>('Aerodynamic Perf'!$B$21+'Aerodynamic Perf'!$B$29+'Aerodynamic Perf'!$B$2+'Aerodynamic Perf'!$B$28+'Aerodynamic Perf'!$B$5)+I5^2/(PI()*'Aerodynamic Perf'!$B$7*'Aerodynamic Perf'!$B$10)</f>
        <v>3.573792085650862</v>
      </c>
      <c r="I5" s="75">
        <f>('Aircraft W+B'!$C$61)/(0.5*'Aerodynamic Perf'!$B$24*A5^2*'Aerodynamic Perf'!$B$14)</f>
        <v>10.806822576867743</v>
      </c>
      <c r="J5">
        <f>I5*0.5*'Aerodynamic Perf'!$B$24*A5^2*'Aerodynamic Perf'!$B$14</f>
        <v>111.68423</v>
      </c>
      <c r="K5" s="76">
        <f t="shared" si="2"/>
        <v>3.0239091468858059</v>
      </c>
      <c r="L5" s="76">
        <f>M5/'Systems Param+Perf'!$C$58</f>
        <v>37.665669534886931</v>
      </c>
      <c r="M5" s="2">
        <f>('Systems Param+Perf'!$C$4*((G5)^2)+'Systems Param+Perf'!$C$5*((G5))+'Systems Param+Perf'!$C$6)</f>
        <v>836.17786367448991</v>
      </c>
    </row>
    <row r="6" spans="1:14" ht="15.75" customHeight="1" x14ac:dyDescent="0.25">
      <c r="A6" s="65">
        <f t="shared" si="3"/>
        <v>5</v>
      </c>
      <c r="B6" s="78"/>
      <c r="C6" s="79">
        <f>(('Performance Calculator'!$B$37/(((2)*M6-'Systems Param+Perf'!$C$66+'Systems Param+Perf'!$C$76+'Systems Param+Perf'!$C$83+'Systems Param+Perf'!$C$86)))/60)</f>
        <v>17.306954913945962</v>
      </c>
      <c r="D6" s="74">
        <f t="shared" si="0"/>
        <v>5.1920864741837889</v>
      </c>
      <c r="F6" s="2">
        <f>0.5*('Aerodynamic Perf'!$B$24*A6^2*H6*'Aerodynamic Perf'!$B$14)</f>
        <v>29.98652141335586</v>
      </c>
      <c r="G6">
        <f t="shared" si="1"/>
        <v>3.0567300115551332</v>
      </c>
      <c r="H6" s="75">
        <f>('Aerodynamic Perf'!$B$21+'Aerodynamic Perf'!$B$29+'Aerodynamic Perf'!$B$2+'Aerodynamic Perf'!$B$28+'Aerodynamic Perf'!$B$5)+I6^2/(PI()*'Aerodynamic Perf'!$B$7*'Aerodynamic Perf'!$B$10)</f>
        <v>2.3502673873955304</v>
      </c>
      <c r="I6" s="75">
        <f>('Aircraft W+B'!$C$61)/(0.5*'Aerodynamic Perf'!$B$24*A6^2*'Aerodynamic Perf'!$B$14)</f>
        <v>8.7535262872628721</v>
      </c>
      <c r="J6">
        <f>I6*0.5*'Aerodynamic Perf'!$B$24*A6^2*'Aerodynamic Perf'!$B$14</f>
        <v>111.68423000000001</v>
      </c>
      <c r="K6" s="76">
        <f t="shared" si="2"/>
        <v>3.7244810246731839</v>
      </c>
      <c r="L6" s="76">
        <f>M6/'Systems Param+Perf'!$C$58</f>
        <v>27.077089846843137</v>
      </c>
      <c r="M6" s="2">
        <f>('Systems Param+Perf'!$C$4*((G6)^2)+'Systems Param+Perf'!$C$5*((G6))+'Systems Param+Perf'!$C$6)</f>
        <v>601.11139459991773</v>
      </c>
    </row>
    <row r="7" spans="1:14" ht="15.75" customHeight="1" x14ac:dyDescent="0.25">
      <c r="A7" s="65">
        <f t="shared" si="3"/>
        <v>5.5</v>
      </c>
      <c r="B7" s="78"/>
      <c r="C7" s="79">
        <f>(('Performance Calculator'!$B$37/(((2)*M7-'Systems Param+Perf'!$C$66+'Systems Param+Perf'!$C$76+'Systems Param+Perf'!$C$83+'Systems Param+Perf'!$C$86)))/60)</f>
        <v>23.068030562098578</v>
      </c>
      <c r="D7" s="74">
        <f t="shared" si="0"/>
        <v>7.6124500854925312</v>
      </c>
      <c r="F7" s="2">
        <f>0.5*('Aerodynamic Perf'!$B$24*A7^2*H7*'Aerodynamic Perf'!$B$14)</f>
        <v>24.860547881872346</v>
      </c>
      <c r="G7">
        <f t="shared" si="1"/>
        <v>2.5342046770512074</v>
      </c>
      <c r="H7" s="75">
        <f>('Aerodynamic Perf'!$B$21+'Aerodynamic Perf'!$B$29+'Aerodynamic Perf'!$B$2+'Aerodynamic Perf'!$B$28+'Aerodynamic Perf'!$B$5)+I7^2/(PI()*'Aerodynamic Perf'!$B$7*'Aerodynamic Perf'!$B$10)</f>
        <v>1.6103360340110173</v>
      </c>
      <c r="I7" s="75">
        <f>('Aircraft W+B'!$C$61)/(0.5*'Aerodynamic Perf'!$B$24*A7^2*'Aerodynamic Perf'!$B$14)</f>
        <v>7.2343192456717951</v>
      </c>
      <c r="J7">
        <f>I7*0.5*'Aerodynamic Perf'!$B$24*A7^2*'Aerodynamic Perf'!$B$14</f>
        <v>111.68423</v>
      </c>
      <c r="K7" s="76">
        <f t="shared" si="2"/>
        <v>4.4924283459350951</v>
      </c>
      <c r="L7" s="76">
        <f>M7/'Systems Param+Perf'!$C$58</f>
        <v>20.298468282637206</v>
      </c>
      <c r="M7" s="2">
        <f>('Systems Param+Perf'!$C$4*((G7)^2)+'Systems Param+Perf'!$C$5*((G7))+'Systems Param+Perf'!$C$6)</f>
        <v>450.62599587454605</v>
      </c>
    </row>
    <row r="8" spans="1:14" ht="15.75" customHeight="1" x14ac:dyDescent="0.25">
      <c r="A8" s="65">
        <f t="shared" si="3"/>
        <v>6</v>
      </c>
      <c r="B8" s="78"/>
      <c r="C8" s="79">
        <f>(('Performance Calculator'!$B$37/(((2)*M8-'Systems Param+Perf'!$C$66+'Systems Param+Perf'!$C$76+'Systems Param+Perf'!$C$83+'Systems Param+Perf'!$C$86)))/60)</f>
        <v>29.708783702614891</v>
      </c>
      <c r="D8" s="74">
        <f t="shared" si="0"/>
        <v>10.695162132941361</v>
      </c>
      <c r="F8" s="2">
        <f>0.5*('Aerodynamic Perf'!$B$24*A8^2*H8*'Aerodynamic Perf'!$B$14)</f>
        <v>20.976171155332253</v>
      </c>
      <c r="G8">
        <f t="shared" si="1"/>
        <v>2.1382437467209225</v>
      </c>
      <c r="H8" s="75">
        <f>('Aerodynamic Perf'!$B$21+'Aerodynamic Perf'!$B$29+'Aerodynamic Perf'!$B$2+'Aerodynamic Perf'!$B$28+'Aerodynamic Perf'!$B$5)+I8^2/(PI()*'Aerodynamic Perf'!$B$7*'Aerodynamic Perf'!$B$10)</f>
        <v>1.1417076521004683</v>
      </c>
      <c r="I8" s="75">
        <f>('Aircraft W+B'!$C$61)/(0.5*'Aerodynamic Perf'!$B$24*A8^2*'Aerodynamic Perf'!$B$14)</f>
        <v>6.0788376994881066</v>
      </c>
      <c r="J8">
        <f>I8*0.5*'Aerodynamic Perf'!$B$24*A8^2*'Aerodynamic Perf'!$B$14</f>
        <v>111.68423000000001</v>
      </c>
      <c r="K8" s="76">
        <f t="shared" si="2"/>
        <v>5.3243382299352229</v>
      </c>
      <c r="L8" s="76">
        <f>M8/'Systems Param+Perf'!$C$58</f>
        <v>15.746586885049226</v>
      </c>
      <c r="M8" s="2">
        <f>('Systems Param+Perf'!$C$4*((G8)^2)+'Systems Param+Perf'!$C$5*((G8))+'Systems Param+Perf'!$C$6)</f>
        <v>349.57422884809284</v>
      </c>
    </row>
    <row r="9" spans="1:14" ht="15.75" customHeight="1" x14ac:dyDescent="0.25">
      <c r="A9" s="65">
        <f t="shared" si="3"/>
        <v>6.5</v>
      </c>
      <c r="B9" s="78"/>
      <c r="C9" s="79">
        <f>(('Performance Calculator'!$B$37/(((2)*M9-'Systems Param+Perf'!$C$66+'Systems Param+Perf'!$C$76+'Systems Param+Perf'!$C$83+'Systems Param+Perf'!$C$86)))/60)</f>
        <v>37.18464211239872</v>
      </c>
      <c r="D9" s="74">
        <f t="shared" si="0"/>
        <v>14.502010423835502</v>
      </c>
      <c r="F9" s="2">
        <f>0.5*('Aerodynamic Perf'!$B$24*A9^2*H9*'Aerodynamic Perf'!$B$14)</f>
        <v>17.967707849762014</v>
      </c>
      <c r="G9">
        <f t="shared" si="1"/>
        <v>1.8315706268870553</v>
      </c>
      <c r="H9" s="75">
        <f>('Aerodynamic Perf'!$B$21+'Aerodynamic Perf'!$B$29+'Aerodynamic Perf'!$B$2+'Aerodynamic Perf'!$B$28+'Aerodynamic Perf'!$B$5)+I9^2/(PI()*'Aerodynamic Perf'!$B$7*'Aerodynamic Perf'!$B$10)</f>
        <v>0.83329189713088869</v>
      </c>
      <c r="I9" s="75">
        <f>('Aircraft W+B'!$C$61)/(0.5*'Aerodynamic Perf'!$B$24*A9^2*'Aerodynamic Perf'!$B$14)</f>
        <v>5.1796013534099838</v>
      </c>
      <c r="J9">
        <f>I9*0.5*'Aerodynamic Perf'!$B$24*A9^2*'Aerodynamic Perf'!$B$14</f>
        <v>111.68423000000001</v>
      </c>
      <c r="K9" s="76">
        <f t="shared" si="2"/>
        <v>6.2158306965949075</v>
      </c>
      <c r="L9" s="76">
        <f>M9/'Systems Param+Perf'!$C$58</f>
        <v>12.567652375421122</v>
      </c>
      <c r="M9" s="2">
        <f>('Systems Param+Perf'!$C$4*((G9)^2)+'Systems Param+Perf'!$C$5*((G9))+'Systems Param+Perf'!$C$6)</f>
        <v>279.00188273434895</v>
      </c>
    </row>
    <row r="10" spans="1:14" ht="15.75" customHeight="1" x14ac:dyDescent="0.25">
      <c r="A10" s="65">
        <f t="shared" si="3"/>
        <v>7</v>
      </c>
      <c r="B10" s="78"/>
      <c r="C10" s="79">
        <f>(('Performance Calculator'!$B$37/(((2)*M10-'Systems Param+Perf'!$C$66+'Systems Param+Perf'!$C$76+'Systems Param+Perf'!$C$83+'Systems Param+Perf'!$C$86)))/60)</f>
        <v>45.433418435134428</v>
      </c>
      <c r="D10" s="74">
        <f t="shared" si="0"/>
        <v>19.08203574275646</v>
      </c>
      <c r="F10" s="2">
        <f>0.5*('Aerodynamic Perf'!$B$24*A10^2*H10*'Aerodynamic Perf'!$B$14)</f>
        <v>15.595207425510731</v>
      </c>
      <c r="G10">
        <f t="shared" si="1"/>
        <v>1.589725527574998</v>
      </c>
      <c r="H10" s="75">
        <f>('Aerodynamic Perf'!$B$21+'Aerodynamic Perf'!$B$29+'Aerodynamic Perf'!$B$2+'Aerodynamic Perf'!$B$28+'Aerodynamic Perf'!$B$5)+I10^2/(PI()*'Aerodynamic Perf'!$B$7*'Aerodynamic Perf'!$B$10)</f>
        <v>0.62362895340366808</v>
      </c>
      <c r="I10" s="75">
        <f>('Aircraft W+B'!$C$61)/(0.5*'Aerodynamic Perf'!$B$24*A10^2*'Aerodynamic Perf'!$B$14)</f>
        <v>4.4660848404402413</v>
      </c>
      <c r="J10">
        <f>I10*0.5*'Aerodynamic Perf'!$B$24*A10^2*'Aerodynamic Perf'!$B$14</f>
        <v>111.68423000000001</v>
      </c>
      <c r="K10" s="76">
        <f t="shared" si="2"/>
        <v>7.161445625744375</v>
      </c>
      <c r="L10" s="76">
        <f>M10/'Systems Param+Perf'!$C$58</f>
        <v>10.274042773449214</v>
      </c>
      <c r="M10" s="2">
        <f>('Systems Param+Perf'!$C$4*((G10)^2)+'Systems Param+Perf'!$C$5*((G10))+'Systems Param+Perf'!$C$6)</f>
        <v>228.08374957057256</v>
      </c>
    </row>
    <row r="11" spans="1:14" ht="15.75" customHeight="1" x14ac:dyDescent="0.25">
      <c r="A11" s="65">
        <f t="shared" si="3"/>
        <v>7.5</v>
      </c>
      <c r="B11" s="78"/>
      <c r="C11" s="79">
        <f>(('Performance Calculator'!$B$37/(((2)*M11-'Systems Param+Perf'!$C$66+'Systems Param+Perf'!$C$76+'Systems Param+Perf'!$C$83+'Systems Param+Perf'!$C$86)))/60)</f>
        <v>54.376986105154074</v>
      </c>
      <c r="D11" s="74">
        <f t="shared" si="0"/>
        <v>24.469643747319331</v>
      </c>
      <c r="F11" s="2">
        <f>0.5*('Aerodynamic Perf'!$B$24*A11^2*H11*'Aerodynamic Perf'!$B$14)</f>
        <v>13.695929543928774</v>
      </c>
      <c r="G11">
        <f t="shared" si="1"/>
        <v>1.3961192195646048</v>
      </c>
      <c r="H11" s="75">
        <f>('Aerodynamic Perf'!$B$21+'Aerodynamic Perf'!$B$29+'Aerodynamic Perf'!$B$2+'Aerodynamic Perf'!$B$28+'Aerodynamic Perf'!$B$5)+I11^2/(PI()*'Aerodynamic Perf'!$B$7*'Aerodynamic Perf'!$B$10)</f>
        <v>0.47708985430035183</v>
      </c>
      <c r="I11" s="75">
        <f>('Aircraft W+B'!$C$61)/(0.5*'Aerodynamic Perf'!$B$24*A11^2*'Aerodynamic Perf'!$B$14)</f>
        <v>3.8904561276723881</v>
      </c>
      <c r="J11">
        <f>I11*0.5*'Aerodynamic Perf'!$B$24*A11^2*'Aerodynamic Perf'!$B$14</f>
        <v>111.68423000000001</v>
      </c>
      <c r="K11" s="76">
        <f t="shared" si="2"/>
        <v>8.1545564061044828</v>
      </c>
      <c r="L11" s="76">
        <f>M11/'Systems Param+Perf'!$C$58</f>
        <v>8.5734934169142463</v>
      </c>
      <c r="M11" s="2">
        <f>('Systems Param+Perf'!$C$4*((G11)^2)+'Systems Param+Perf'!$C$5*((G11))+'Systems Param+Perf'!$C$6)</f>
        <v>190.33155385549631</v>
      </c>
    </row>
    <row r="12" spans="1:14" ht="15.75" customHeight="1" x14ac:dyDescent="0.25">
      <c r="A12" s="65">
        <f t="shared" si="3"/>
        <v>8</v>
      </c>
      <c r="B12" s="78"/>
      <c r="C12" s="79">
        <f>(('Performance Calculator'!$B$37/(((2)*M12-'Systems Param+Perf'!$C$66+'Systems Param+Perf'!$C$76+'Systems Param+Perf'!$C$83+'Systems Param+Perf'!$C$86)))/60)</f>
        <v>63.922464244769813</v>
      </c>
      <c r="D12" s="74">
        <f t="shared" si="0"/>
        <v>30.682782837489512</v>
      </c>
      <c r="F12" s="2">
        <f>0.5*('Aerodynamic Perf'!$B$24*A12^2*H12*'Aerodynamic Perf'!$B$14)</f>
        <v>12.156341839390524</v>
      </c>
      <c r="G12">
        <f t="shared" si="1"/>
        <v>1.2391785769001553</v>
      </c>
      <c r="H12" s="75">
        <f>('Aerodynamic Perf'!$B$21+'Aerodynamic Perf'!$B$29+'Aerodynamic Perf'!$B$2+'Aerodynamic Perf'!$B$28+'Aerodynamic Perf'!$B$5)+I12^2/(PI()*'Aerodynamic Perf'!$B$7*'Aerodynamic Perf'!$B$10)</f>
        <v>0.37218093679741382</v>
      </c>
      <c r="I12" s="75">
        <f>('Aircraft W+B'!$C$61)/(0.5*'Aerodynamic Perf'!$B$24*A12^2*'Aerodynamic Perf'!$B$14)</f>
        <v>3.4193462059620598</v>
      </c>
      <c r="J12">
        <f>I12*0.5*'Aerodynamic Perf'!$B$24*A12^2*'Aerodynamic Perf'!$B$14</f>
        <v>111.68423000000001</v>
      </c>
      <c r="K12" s="76">
        <f t="shared" si="2"/>
        <v>9.1873222615463632</v>
      </c>
      <c r="L12" s="76">
        <f>M12/'Systems Param+Perf'!$C$58</f>
        <v>7.2834686833548572</v>
      </c>
      <c r="M12" s="2">
        <f>('Systems Param+Perf'!$C$4*((G12)^2)+'Systems Param+Perf'!$C$5*((G12))+'Systems Param+Perf'!$C$6)</f>
        <v>161.69300477047784</v>
      </c>
    </row>
    <row r="13" spans="1:14" ht="15.75" customHeight="1" x14ac:dyDescent="0.25">
      <c r="A13" s="65">
        <f t="shared" si="3"/>
        <v>8.5</v>
      </c>
      <c r="B13" s="78"/>
      <c r="C13" s="79">
        <f>(('Performance Calculator'!$B$37/(((2)*M13-'Systems Param+Perf'!$C$66+'Systems Param+Perf'!$C$76+'Systems Param+Perf'!$C$83+'Systems Param+Perf'!$C$86)))/60)</f>
        <v>73.963251786988877</v>
      </c>
      <c r="D13" s="74">
        <f t="shared" si="0"/>
        <v>37.721258411364332</v>
      </c>
      <c r="F13" s="2">
        <f>0.5*('Aerodynamic Perf'!$B$24*A13^2*H13*'Aerodynamic Perf'!$B$14)</f>
        <v>10.895287708996893</v>
      </c>
      <c r="G13">
        <f t="shared" si="1"/>
        <v>1.1106307552494283</v>
      </c>
      <c r="H13" s="75">
        <f>('Aerodynamic Perf'!$B$21+'Aerodynamic Perf'!$B$29+'Aerodynamic Perf'!$B$2+'Aerodynamic Perf'!$B$28+'Aerodynamic Perf'!$B$5)+I13^2/(PI()*'Aerodynamic Perf'!$B$7*'Aerodynamic Perf'!$B$10)</f>
        <v>0.29548269146628159</v>
      </c>
      <c r="I13" s="75">
        <f>('Aircraft W+B'!$C$61)/(0.5*'Aerodynamic Perf'!$B$24*A13^2*'Aerodynamic Perf'!$B$14)</f>
        <v>3.0289018295027237</v>
      </c>
      <c r="J13">
        <f>I13*0.5*'Aerodynamic Perf'!$B$24*A13^2*'Aerodynamic Perf'!$B$14</f>
        <v>111.68423</v>
      </c>
      <c r="K13" s="76">
        <f t="shared" si="2"/>
        <v>10.250691214677666</v>
      </c>
      <c r="L13" s="76">
        <f>M13/'Systems Param+Perf'!$C$58</f>
        <v>6.2858438217977763</v>
      </c>
      <c r="M13" s="2">
        <f>('Systems Param+Perf'!$C$4*((G13)^2)+'Systems Param+Perf'!$C$5*((G13))+'Systems Param+Perf'!$C$6)</f>
        <v>139.54573284391066</v>
      </c>
    </row>
    <row r="14" spans="1:14" ht="15.75" customHeight="1" x14ac:dyDescent="0.25">
      <c r="A14" s="65">
        <f t="shared" si="3"/>
        <v>9</v>
      </c>
      <c r="C14" s="79">
        <f>(('Performance Calculator'!$B$37/(((2)*M14-'Systems Param+Perf'!$C$66+'Systems Param+Perf'!$C$76+'Systems Param+Perf'!$C$83+'Systems Param+Perf'!$C$86)))/60)</f>
        <v>84.380224342117813</v>
      </c>
      <c r="D14" s="74">
        <f t="shared" si="0"/>
        <v>45.565321144743621</v>
      </c>
      <c r="F14" s="2">
        <f>0.5*('Aerodynamic Perf'!$B$24*A14^2*H14*'Aerodynamic Perf'!$B$14)</f>
        <v>9.8535075744128999</v>
      </c>
      <c r="G14">
        <f t="shared" si="1"/>
        <v>1.0044350228759327</v>
      </c>
      <c r="H14" s="75">
        <f>('Aerodynamic Perf'!$B$21+'Aerodynamic Perf'!$B$29+'Aerodynamic Perf'!$B$2+'Aerodynamic Perf'!$B$28+'Aerodynamic Perf'!$B$5)+I14^2/(PI()*'Aerodynamic Perf'!$B$7*'Aerodynamic Perf'!$B$10)</f>
        <v>0.23836200535317886</v>
      </c>
      <c r="I14" s="75">
        <f>('Aircraft W+B'!$C$61)/(0.5*'Aerodynamic Perf'!$B$24*A14^2*'Aerodynamic Perf'!$B$14)</f>
        <v>2.7017056442169358</v>
      </c>
      <c r="J14">
        <f>I14*0.5*'Aerodynamic Perf'!$B$24*A14^2*'Aerodynamic Perf'!$B$14</f>
        <v>111.68423</v>
      </c>
      <c r="K14" s="76">
        <f t="shared" si="2"/>
        <v>11.334464317053561</v>
      </c>
      <c r="L14" s="76">
        <f>M14/'Systems Param+Perf'!$C$58</f>
        <v>5.50177562406083</v>
      </c>
      <c r="M14" s="2">
        <f>('Systems Param+Perf'!$C$4*((G14)^2)+'Systems Param+Perf'!$C$5*((G14))+'Systems Param+Perf'!$C$6)</f>
        <v>122.13941885415043</v>
      </c>
    </row>
    <row r="15" spans="1:14" ht="15.75" customHeight="1" x14ac:dyDescent="0.25">
      <c r="A15" s="65">
        <f t="shared" si="3"/>
        <v>9.5</v>
      </c>
      <c r="C15" s="79">
        <f>(('Performance Calculator'!$B$37/(((2)*M15-'Systems Param+Perf'!$C$66+'Systems Param+Perf'!$C$76+'Systems Param+Perf'!$C$83+'Systems Param+Perf'!$C$86)))/60)</f>
        <v>95.0433460085478</v>
      </c>
      <c r="D15" s="74">
        <f t="shared" si="0"/>
        <v>54.17470722487225</v>
      </c>
      <c r="F15" s="2">
        <f>0.5*('Aerodynamic Perf'!$B$24*A15^2*H15*'Aerodynamic Perf'!$B$14)</f>
        <v>8.9869136256727007</v>
      </c>
      <c r="G15">
        <f t="shared" si="1"/>
        <v>0.91609720954869522</v>
      </c>
      <c r="H15" s="75">
        <f>('Aerodynamic Perf'!$B$21+'Aerodynamic Perf'!$B$29+'Aerodynamic Perf'!$B$2+'Aerodynamic Perf'!$B$28+'Aerodynamic Perf'!$B$5)+I15^2/(PI()*'Aerodynamic Perf'!$B$7*'Aerodynamic Perf'!$B$10)</f>
        <v>0.1951167492112193</v>
      </c>
      <c r="I15" s="75">
        <f>('Aircraft W+B'!$C$61)/(0.5*'Aerodynamic Perf'!$B$24*A15^2*'Aerodynamic Perf'!$B$14)</f>
        <v>2.4247995255575825</v>
      </c>
      <c r="J15">
        <f>I15*0.5*'Aerodynamic Perf'!$B$24*A15^2*'Aerodynamic Perf'!$B$14</f>
        <v>111.68423000000001</v>
      </c>
      <c r="K15" s="76">
        <f t="shared" si="2"/>
        <v>12.427428887371784</v>
      </c>
      <c r="L15" s="76">
        <f>M15/'Systems Param+Perf'!$C$58</f>
        <v>4.8771914684345221</v>
      </c>
      <c r="M15" s="2">
        <f>('Systems Param+Perf'!$C$4*((G15)^2)+'Systems Param+Perf'!$C$5*((G15))+'Systems Param+Perf'!$C$6)</f>
        <v>108.27365059924641</v>
      </c>
    </row>
    <row r="16" spans="1:14" ht="15.75" customHeight="1" x14ac:dyDescent="0.25">
      <c r="A16" s="65">
        <f t="shared" si="3"/>
        <v>10</v>
      </c>
      <c r="C16" s="79">
        <f>(('Performance Calculator'!$B$37/(((2)*M16-'Systems Param+Perf'!$C$66+'Systems Param+Perf'!$C$76+'Systems Param+Perf'!$C$83+'Systems Param+Perf'!$C$86)))/60)</f>
        <v>105.81386673105713</v>
      </c>
      <c r="D16" s="74">
        <f t="shared" si="0"/>
        <v>63.488320038634278</v>
      </c>
      <c r="F16" s="2">
        <f>0.5*('Aerodynamic Perf'!$B$24*A16^2*H16*'Aerodynamic Perf'!$B$14)</f>
        <v>8.2621565630163847</v>
      </c>
      <c r="G16">
        <f t="shared" si="1"/>
        <v>0.84221779439514621</v>
      </c>
      <c r="H16" s="75">
        <f>('Aerodynamic Perf'!$B$21+'Aerodynamic Perf'!$B$29+'Aerodynamic Perf'!$B$2+'Aerodynamic Perf'!$B$28+'Aerodynamic Perf'!$B$5)+I16^2/(PI()*'Aerodynamic Perf'!$B$7*'Aerodynamic Perf'!$B$10)</f>
        <v>0.16189171171222067</v>
      </c>
      <c r="I16" s="75">
        <f>('Aircraft W+B'!$C$61)/(0.5*'Aerodynamic Perf'!$B$24*A16^2*'Aerodynamic Perf'!$B$14)</f>
        <v>2.188381571815718</v>
      </c>
      <c r="J16">
        <f>I16*0.5*'Aerodynamic Perf'!$B$24*A16^2*'Aerodynamic Perf'!$B$14</f>
        <v>111.68423000000001</v>
      </c>
      <c r="K16" s="76">
        <f t="shared" si="2"/>
        <v>13.517563985646118</v>
      </c>
      <c r="L16" s="76">
        <f>M16/'Systems Param+Perf'!$C$58</f>
        <v>4.374106443946931</v>
      </c>
      <c r="M16" s="2">
        <f>('Systems Param+Perf'!$C$4*((G16)^2)+'Systems Param+Perf'!$C$5*((G16))+'Systems Param+Perf'!$C$6)</f>
        <v>97.105163055621873</v>
      </c>
    </row>
    <row r="17" spans="1:13" ht="15.75" customHeight="1" x14ac:dyDescent="0.25">
      <c r="A17" s="65">
        <f t="shared" si="3"/>
        <v>10.5</v>
      </c>
      <c r="C17" s="79">
        <f>(('Performance Calculator'!$B$37/(((2)*M17-'Systems Param+Perf'!$C$66+'Systems Param+Perf'!$C$76+'Systems Param+Perf'!$C$83+'Systems Param+Perf'!$C$86)))/60)</f>
        <v>116.54718153388377</v>
      </c>
      <c r="D17" s="74">
        <f t="shared" si="0"/>
        <v>73.42472436634678</v>
      </c>
      <c r="F17" s="2">
        <f>0.5*('Aerodynamic Perf'!$B$24*A17^2*H17*'Aerodynamic Perf'!$B$14)</f>
        <v>7.6536332195818302</v>
      </c>
      <c r="G17">
        <f t="shared" si="1"/>
        <v>0.78018687253637409</v>
      </c>
      <c r="H17" s="75">
        <f>('Aerodynamic Perf'!$B$21+'Aerodynamic Perf'!$B$29+'Aerodynamic Perf'!$B$2+'Aerodynamic Perf'!$B$28+'Aerodynamic Perf'!$B$5)+I17^2/(PI()*'Aerodynamic Perf'!$B$7*'Aerodynamic Perf'!$B$10)</f>
        <v>0.13602547227726777</v>
      </c>
      <c r="I17" s="75">
        <f>('Aircraft W+B'!$C$61)/(0.5*'Aerodynamic Perf'!$B$24*A17^2*'Aerodynamic Perf'!$B$14)</f>
        <v>1.9849265957512185</v>
      </c>
      <c r="J17">
        <f>I17*0.5*'Aerodynamic Perf'!$B$24*A17^2*'Aerodynamic Perf'!$B$14</f>
        <v>111.68423000000004</v>
      </c>
      <c r="K17" s="76">
        <f t="shared" si="2"/>
        <v>14.592315413581066</v>
      </c>
      <c r="L17" s="76">
        <f>M17/'Systems Param+Perf'!$C$58</f>
        <v>3.9652616254145592</v>
      </c>
      <c r="M17" s="2">
        <f>('Systems Param+Perf'!$C$4*((G17)^2)+'Systems Param+Perf'!$C$5*((G17))+'Systems Param+Perf'!$C$6)</f>
        <v>88.02880808420322</v>
      </c>
    </row>
    <row r="18" spans="1:13" ht="15.75" customHeight="1" x14ac:dyDescent="0.25">
      <c r="A18" s="65">
        <f t="shared" si="3"/>
        <v>11</v>
      </c>
      <c r="C18" s="79">
        <f>(('Performance Calculator'!$B$37/(((2)*M18-'Systems Param+Perf'!$C$66+'Systems Param+Perf'!$C$76+'Systems Param+Perf'!$C$83+'Systems Param+Perf'!$C$86)))/60)</f>
        <v>127.09632728840803</v>
      </c>
      <c r="D18" s="74">
        <f t="shared" si="0"/>
        <v>83.883576010349302</v>
      </c>
      <c r="F18" s="2">
        <f>0.5*('Aerodynamic Perf'!$B$24*A18^2*H18*'Aerodynamic Perf'!$B$14)</f>
        <v>7.1414236841777647</v>
      </c>
      <c r="G18">
        <f t="shared" si="1"/>
        <v>0.72797387198550101</v>
      </c>
      <c r="H18" s="75">
        <f>('Aerodynamic Perf'!$B$21+'Aerodynamic Perf'!$B$29+'Aerodynamic Perf'!$B$2+'Aerodynamic Perf'!$B$28+'Aerodynamic Perf'!$B$5)+I18^2/(PI()*'Aerodynamic Perf'!$B$7*'Aerodynamic Perf'!$B$10)</f>
        <v>0.11564600212568858</v>
      </c>
      <c r="I18" s="75">
        <f>('Aircraft W+B'!$C$61)/(0.5*'Aerodynamic Perf'!$B$24*A18^2*'Aerodynamic Perf'!$B$14)</f>
        <v>1.8085798114179488</v>
      </c>
      <c r="J18">
        <f>I18*0.5*'Aerodynamic Perf'!$B$24*A18^2*'Aerodynamic Perf'!$B$14</f>
        <v>111.68423</v>
      </c>
      <c r="K18" s="76">
        <f t="shared" si="2"/>
        <v>15.638930686530035</v>
      </c>
      <c r="L18" s="76">
        <f>M18/'Systems Param+Perf'!$C$58</f>
        <v>3.6307189637206521</v>
      </c>
      <c r="M18" s="2">
        <f>('Systems Param+Perf'!$C$4*((G18)^2)+'Systems Param+Perf'!$C$5*((G18))+'Systems Param+Perf'!$C$6)</f>
        <v>80.601960994598485</v>
      </c>
    </row>
    <row r="19" spans="1:13" ht="15.75" customHeight="1" x14ac:dyDescent="0.25">
      <c r="A19" s="65">
        <f t="shared" si="3"/>
        <v>11.5</v>
      </c>
      <c r="C19" s="79">
        <f>(('Performance Calculator'!$B$37/(((2)*M19-'Systems Param+Perf'!$C$66+'Systems Param+Perf'!$C$76+'Systems Param+Perf'!$C$83+'Systems Param+Perf'!$C$86)))/60)</f>
        <v>137.31599349049432</v>
      </c>
      <c r="D19" s="74">
        <f t="shared" si="0"/>
        <v>94.748035508441077</v>
      </c>
      <c r="F19" s="2">
        <f>0.5*('Aerodynamic Perf'!$B$24*A19^2*H19*'Aerodynamic Perf'!$B$14)</f>
        <v>6.7098420211539214</v>
      </c>
      <c r="G19">
        <f t="shared" si="1"/>
        <v>0.68397981867012447</v>
      </c>
      <c r="H19" s="75">
        <f>('Aerodynamic Perf'!$B$21+'Aerodynamic Perf'!$B$29+'Aerodynamic Perf'!$B$2+'Aerodynamic Perf'!$B$28+'Aerodynamic Perf'!$B$5)+I19^2/(PI()*'Aerodynamic Perf'!$B$7*'Aerodynamic Perf'!$B$10)</f>
        <v>9.9414059676585273E-2</v>
      </c>
      <c r="I19" s="75">
        <f>('Aircraft W+B'!$C$61)/(0.5*'Aerodynamic Perf'!$B$24*A19^2*'Aerodynamic Perf'!$B$14)</f>
        <v>1.6547308671574426</v>
      </c>
      <c r="J19">
        <f>I19*0.5*'Aerodynamic Perf'!$B$24*A19^2*'Aerodynamic Perf'!$B$14</f>
        <v>111.68423</v>
      </c>
      <c r="K19" s="76">
        <f t="shared" si="2"/>
        <v>16.644837486172761</v>
      </c>
      <c r="L19" s="76">
        <f>M19/'Systems Param+Perf'!$C$58</f>
        <v>3.3556436746514948</v>
      </c>
      <c r="M19" s="2">
        <f>('Systems Param+Perf'!$C$4*((G19)^2)+'Systems Param+Perf'!$C$5*((G19))+'Systems Param+Perf'!$C$6)</f>
        <v>74.495289577263193</v>
      </c>
    </row>
    <row r="20" spans="1:13" ht="15.75" customHeight="1" x14ac:dyDescent="0.25">
      <c r="A20" s="65">
        <f t="shared" si="3"/>
        <v>12</v>
      </c>
      <c r="C20" s="79">
        <f>(('Performance Calculator'!$B$37/(((2)*M20-'Systems Param+Perf'!$C$66+'Systems Param+Perf'!$C$76+'Systems Param+Perf'!$C$83+'Systems Param+Perf'!$C$86)))/60)</f>
        <v>147.06683591907424</v>
      </c>
      <c r="D20" s="74">
        <f t="shared" si="0"/>
        <v>105.88812186173347</v>
      </c>
      <c r="F20" s="2">
        <f>0.5*('Aerodynamic Perf'!$B$24*A20^2*H20*'Aerodynamic Perf'!$B$14)</f>
        <v>6.3464005307685474</v>
      </c>
      <c r="G20">
        <f t="shared" si="1"/>
        <v>0.64693175644939316</v>
      </c>
      <c r="H20" s="75">
        <f>('Aerodynamic Perf'!$B$21+'Aerodynamic Perf'!$B$29+'Aerodynamic Perf'!$B$2+'Aerodynamic Perf'!$B$28+'Aerodynamic Perf'!$B$5)+I20^2/(PI()*'Aerodynamic Perf'!$B$7*'Aerodynamic Perf'!$B$10)</f>
        <v>8.6356728256279269E-2</v>
      </c>
      <c r="I20" s="75">
        <f>('Aircraft W+B'!$C$61)/(0.5*'Aerodynamic Perf'!$B$24*A20^2*'Aerodynamic Perf'!$B$14)</f>
        <v>1.5197094248720266</v>
      </c>
      <c r="J20">
        <f>I20*0.5*'Aerodynamic Perf'!$B$24*A20^2*'Aerodynamic Perf'!$B$14</f>
        <v>111.68423000000001</v>
      </c>
      <c r="K20" s="76">
        <f t="shared" si="2"/>
        <v>17.59804308891848</v>
      </c>
      <c r="L20" s="76">
        <f>M20/'Systems Param+Perf'!$C$58</f>
        <v>3.1288268545483162</v>
      </c>
      <c r="M20" s="2">
        <f>('Systems Param+Perf'!$C$4*((G20)^2)+'Systems Param+Perf'!$C$5*((G20))+'Systems Param+Perf'!$C$6)</f>
        <v>69.459956170972632</v>
      </c>
    </row>
    <row r="21" spans="1:13" ht="15.75" customHeight="1" x14ac:dyDescent="0.25">
      <c r="A21" s="65">
        <f t="shared" si="3"/>
        <v>12.5</v>
      </c>
      <c r="C21" s="79">
        <f>(('Performance Calculator'!$B$37/(((2)*M21-'Systems Param+Perf'!$C$66+'Systems Param+Perf'!$C$76+'Systems Param+Perf'!$C$83+'Systems Param+Perf'!$C$86)))/60)</f>
        <v>156.21981718939313</v>
      </c>
      <c r="D21" s="74">
        <f t="shared" si="0"/>
        <v>117.16486289204484</v>
      </c>
      <c r="F21" s="2">
        <f>0.5*('Aerodynamic Perf'!$B$24*A21^2*H21*'Aerodynamic Perf'!$B$14)</f>
        <v>6.0410579906530675</v>
      </c>
      <c r="G21">
        <f t="shared" si="1"/>
        <v>0.61580611525515461</v>
      </c>
      <c r="H21" s="75">
        <f>('Aerodynamic Perf'!$B$21+'Aerodynamic Perf'!$B$29+'Aerodynamic Perf'!$B$2+'Aerodynamic Perf'!$B$28+'Aerodynamic Perf'!$B$5)+I21^2/(PI()*'Aerodynamic Perf'!$B$7*'Aerodynamic Perf'!$B$10)</f>
        <v>7.5757245117325595E-2</v>
      </c>
      <c r="I21" s="75">
        <f>('Aircraft W+B'!$C$61)/(0.5*'Aerodynamic Perf'!$B$24*A21^2*'Aerodynamic Perf'!$B$14)</f>
        <v>1.4005642059620598</v>
      </c>
      <c r="J21">
        <f>I21*0.5*'Aerodynamic Perf'!$B$24*A21^2*'Aerodynamic Perf'!$B$14</f>
        <v>111.68423000000001</v>
      </c>
      <c r="K21" s="76">
        <f t="shared" si="2"/>
        <v>18.487528206615742</v>
      </c>
      <c r="L21" s="76">
        <f>M21/'Systems Param+Perf'!$C$58</f>
        <v>2.9416807934307743</v>
      </c>
      <c r="M21" s="2">
        <f>('Systems Param+Perf'!$C$4*((G21)^2)+'Systems Param+Perf'!$C$5*((G21))+'Systems Param+Perf'!$C$6)</f>
        <v>65.305313614163197</v>
      </c>
    </row>
    <row r="22" spans="1:13" ht="15.75" customHeight="1" x14ac:dyDescent="0.25">
      <c r="A22" s="65">
        <f t="shared" si="3"/>
        <v>13</v>
      </c>
      <c r="C22" s="79">
        <f>(('Performance Calculator'!$B$37/(((2)*M22-'Systems Param+Perf'!$C$66+'Systems Param+Perf'!$C$76+'Systems Param+Perf'!$C$83+'Systems Param+Perf'!$C$86)))/60)</f>
        <v>164.66026601836464</v>
      </c>
      <c r="D22" s="74">
        <f t="shared" si="0"/>
        <v>128.43500749432442</v>
      </c>
      <c r="F22" s="2">
        <f>0.5*('Aerodynamic Perf'!$B$24*A22^2*H22*'Aerodynamic Perf'!$B$14)</f>
        <v>5.7856662567953423</v>
      </c>
      <c r="G22">
        <f t="shared" si="1"/>
        <v>0.58977229936751707</v>
      </c>
      <c r="H22" s="75">
        <f>('Aerodynamic Perf'!$B$21+'Aerodynamic Perf'!$B$29+'Aerodynamic Perf'!$B$2+'Aerodynamic Perf'!$B$28+'Aerodynamic Perf'!$B$5)+I22^2/(PI()*'Aerodynamic Perf'!$B$7*'Aerodynamic Perf'!$B$10)</f>
        <v>6.7080743570680543E-2</v>
      </c>
      <c r="I22" s="75">
        <f>('Aircraft W+B'!$C$61)/(0.5*'Aerodynamic Perf'!$B$24*A22^2*'Aerodynamic Perf'!$B$14)</f>
        <v>1.294900338352496</v>
      </c>
      <c r="J22">
        <f>I22*0.5*'Aerodynamic Perf'!$B$24*A22^2*'Aerodynamic Perf'!$B$14</f>
        <v>111.68423000000001</v>
      </c>
      <c r="K22" s="76">
        <f t="shared" si="2"/>
        <v>19.303607405426366</v>
      </c>
      <c r="L22" s="76">
        <f>M22/'Systems Param+Perf'!$C$58</f>
        <v>2.7875428377568947</v>
      </c>
      <c r="M22" s="2">
        <f>('Systems Param+Perf'!$C$4*((G22)^2)+'Systems Param+Perf'!$C$5*((G22))+'Systems Param+Perf'!$C$6)</f>
        <v>61.883450998203074</v>
      </c>
    </row>
    <row r="23" spans="1:13" ht="15.75" customHeight="1" x14ac:dyDescent="0.25">
      <c r="A23" s="65">
        <f t="shared" si="3"/>
        <v>13.5</v>
      </c>
      <c r="C23" s="79">
        <f>(('Performance Calculator'!$B$37/(((2)*M23-'Systems Param+Perf'!$C$66+'Systems Param+Perf'!$C$76+'Systems Param+Perf'!$C$83+'Systems Param+Perf'!$C$86)))/60)</f>
        <v>172.29135352609617</v>
      </c>
      <c r="D23" s="74">
        <f t="shared" si="0"/>
        <v>139.55599635613788</v>
      </c>
      <c r="F23" s="2">
        <f>0.5*('Aerodynamic Perf'!$B$24*A23^2*H23*'Aerodynamic Perf'!$B$14)</f>
        <v>5.5735575868358413</v>
      </c>
      <c r="G23">
        <f t="shared" si="1"/>
        <v>0.56815062047256282</v>
      </c>
      <c r="H23" s="75">
        <f>('Aerodynamic Perf'!$B$21+'Aerodynamic Perf'!$B$29+'Aerodynamic Perf'!$B$2+'Aerodynamic Perf'!$B$28+'Aerodynamic Perf'!$B$5)+I23^2/(PI()*'Aerodynamic Perf'!$B$7*'Aerodynamic Perf'!$B$10)</f>
        <v>5.9923359082109412E-2</v>
      </c>
      <c r="I23" s="75">
        <f>('Aircraft W+B'!$C$61)/(0.5*'Aerodynamic Perf'!$B$24*A23^2*'Aerodynamic Perf'!$B$14)</f>
        <v>1.2007580640964159</v>
      </c>
      <c r="J23">
        <f>I23*0.5*'Aerodynamic Perf'!$B$24*A23^2*'Aerodynamic Perf'!$B$14</f>
        <v>111.68423</v>
      </c>
      <c r="K23" s="76">
        <f t="shared" si="2"/>
        <v>20.038230207540412</v>
      </c>
      <c r="L23" s="76">
        <f>M23/'Systems Param+Perf'!$C$58</f>
        <v>2.6611847253636229</v>
      </c>
      <c r="M23" s="2">
        <f>('Systems Param+Perf'!$C$4*((G23)^2)+'Systems Param+Perf'!$C$5*((G23))+'Systems Param+Perf'!$C$6)</f>
        <v>59.078300903072439</v>
      </c>
    </row>
    <row r="24" spans="1:13" ht="15.75" customHeight="1" x14ac:dyDescent="0.25">
      <c r="A24" s="65">
        <f t="shared" si="3"/>
        <v>14</v>
      </c>
      <c r="C24" s="79">
        <f>(('Performance Calculator'!$B$37/(((2)*M24-'Systems Param+Perf'!$C$66+'Systems Param+Perf'!$C$76+'Systems Param+Perf'!$C$83+'Systems Param+Perf'!$C$86)))/60)</f>
        <v>179.03673023866696</v>
      </c>
      <c r="D24" s="74">
        <f t="shared" si="0"/>
        <v>150.39085340048024</v>
      </c>
      <c r="F24" s="2">
        <f>0.5*('Aerodynamic Perf'!$B$24*A24^2*H24*'Aerodynamic Perf'!$B$14)</f>
        <v>5.3992332273454249</v>
      </c>
      <c r="G24">
        <f t="shared" si="1"/>
        <v>0.55038055324622071</v>
      </c>
      <c r="H24" s="75">
        <f>('Aerodynamic Perf'!$B$21+'Aerodynamic Perf'!$B$29+'Aerodynamic Perf'!$B$2+'Aerodynamic Perf'!$B$28+'Aerodynamic Perf'!$B$5)+I24^2/(PI()*'Aerodynamic Perf'!$B$7*'Aerodynamic Perf'!$B$10)</f>
        <v>5.3976809587729255E-2</v>
      </c>
      <c r="I24" s="75">
        <f>('Aircraft W+B'!$C$61)/(0.5*'Aerodynamic Perf'!$B$24*A24^2*'Aerodynamic Perf'!$B$14)</f>
        <v>1.1165212101100603</v>
      </c>
      <c r="J24">
        <f>I24*0.5*'Aerodynamic Perf'!$B$24*A24^2*'Aerodynamic Perf'!$B$14</f>
        <v>111.68423000000001</v>
      </c>
      <c r="K24" s="76">
        <f t="shared" si="2"/>
        <v>20.685202008750871</v>
      </c>
      <c r="L24" s="76">
        <f>M24/'Systems Param+Perf'!$C$58</f>
        <v>2.5584612794165134</v>
      </c>
      <c r="M24" s="2">
        <f>('Systems Param+Perf'!$C$4*((G24)^2)+'Systems Param+Perf'!$C$5*((G24))+'Systems Param+Perf'!$C$6)</f>
        <v>56.7978404030466</v>
      </c>
    </row>
    <row r="25" spans="1:13" ht="15.75" customHeight="1" x14ac:dyDescent="0.25">
      <c r="A25" s="65">
        <f t="shared" si="3"/>
        <v>14.5</v>
      </c>
      <c r="C25" s="79">
        <f>(('Performance Calculator'!$B$37/(((2)*M25-'Systems Param+Perf'!$C$66+'Systems Param+Perf'!$C$76+'Systems Param+Perf'!$C$83+'Systems Param+Perf'!$C$86)))/60)</f>
        <v>184.842145175068</v>
      </c>
      <c r="D25" s="74">
        <f t="shared" si="0"/>
        <v>160.81266630230917</v>
      </c>
      <c r="F25" s="2">
        <f>0.5*('Aerodynamic Perf'!$B$24*A25^2*H25*'Aerodynamic Perf'!$B$14)</f>
        <v>5.2581258311880328</v>
      </c>
      <c r="G25">
        <f t="shared" si="1"/>
        <v>0.53599651694067607</v>
      </c>
      <c r="H25" s="75">
        <f>('Aerodynamic Perf'!$B$21+'Aerodynamic Perf'!$B$29+'Aerodynamic Perf'!$B$2+'Aerodynamic Perf'!$B$28+'Aerodynamic Perf'!$B$5)+I25^2/(PI()*'Aerodynamic Perf'!$B$7*'Aerodynamic Perf'!$B$10)</f>
        <v>4.9003394512160382E-2</v>
      </c>
      <c r="I25" s="75">
        <f>('Aircraft W+B'!$C$61)/(0.5*'Aerodynamic Perf'!$B$24*A25^2*'Aerodynamic Perf'!$B$14)</f>
        <v>1.0408473587708529</v>
      </c>
      <c r="J25">
        <f>I25*0.5*'Aerodynamic Perf'!$B$24*A25^2*'Aerodynamic Perf'!$B$14</f>
        <v>111.68423</v>
      </c>
      <c r="K25" s="76">
        <f t="shared" si="2"/>
        <v>21.24031139337832</v>
      </c>
      <c r="L25" s="76">
        <f>M25/'Systems Param+Perf'!$C$58</f>
        <v>2.4760552252214105</v>
      </c>
      <c r="M25" s="2">
        <f>('Systems Param+Perf'!$C$4*((G25)^2)+'Systems Param+Perf'!$C$5*((G25))+'Systems Param+Perf'!$C$6)</f>
        <v>54.968425999915318</v>
      </c>
    </row>
    <row r="26" spans="1:13" ht="15.75" customHeight="1" x14ac:dyDescent="0.25">
      <c r="A26" s="65">
        <f t="shared" si="3"/>
        <v>15</v>
      </c>
      <c r="C26" s="79">
        <f>(('Performance Calculator'!$B$37/(((2)*M26-'Systems Param+Perf'!$C$66+'Systems Param+Perf'!$C$76+'Systems Param+Perf'!$C$83+'Systems Param+Perf'!$C$86)))/60)</f>
        <v>189.67596645218839</v>
      </c>
      <c r="D26" s="74">
        <f t="shared" si="0"/>
        <v>170.70836980696956</v>
      </c>
      <c r="F26" s="2">
        <f>0.5*('Aerodynamic Perf'!$B$24*A26^2*H26*'Aerodynamic Perf'!$B$14)</f>
        <v>5.1464163577563875</v>
      </c>
      <c r="G26">
        <f t="shared" si="1"/>
        <v>0.52460921078046763</v>
      </c>
      <c r="H26" s="75">
        <f>('Aerodynamic Perf'!$B$21+'Aerodynamic Perf'!$B$29+'Aerodynamic Perf'!$B$2+'Aerodynamic Perf'!$B$28+'Aerodynamic Perf'!$B$5)+I26^2/(PI()*'Aerodynamic Perf'!$B$7*'Aerodynamic Perf'!$B$10)</f>
        <v>4.4818115893771993E-2</v>
      </c>
      <c r="I26" s="75">
        <f>('Aircraft W+B'!$C$61)/(0.5*'Aerodynamic Perf'!$B$24*A26^2*'Aerodynamic Perf'!$B$14)</f>
        <v>0.97261403191809703</v>
      </c>
      <c r="J26">
        <f>I26*0.5*'Aerodynamic Perf'!$B$24*A26^2*'Aerodynamic Perf'!$B$14</f>
        <v>111.68423000000001</v>
      </c>
      <c r="K26" s="76">
        <f t="shared" si="2"/>
        <v>21.701359205357701</v>
      </c>
      <c r="L26" s="76">
        <f>M26/'Systems Param+Perf'!$C$58</f>
        <v>2.4112893446427028</v>
      </c>
      <c r="M26" s="2">
        <f>('Systems Param+Perf'!$C$4*((G26)^2)+'Systems Param+Perf'!$C$5*((G26))+'Systems Param+Perf'!$C$6)</f>
        <v>53.53062345106801</v>
      </c>
    </row>
    <row r="27" spans="1:13" ht="15.75" customHeight="1" x14ac:dyDescent="0.25">
      <c r="A27" s="65">
        <f t="shared" si="3"/>
        <v>15.5</v>
      </c>
      <c r="C27" s="79">
        <f>(('Performance Calculator'!$B$37/(((2)*M27-'Systems Param+Perf'!$C$66+'Systems Param+Perf'!$C$76+'Systems Param+Perf'!$C$83+'Systems Param+Perf'!$C$86)))/60)</f>
        <v>193.52862605526445</v>
      </c>
      <c r="D27" s="74">
        <f t="shared" si="0"/>
        <v>179.98162223139593</v>
      </c>
      <c r="F27" s="2">
        <f>0.5*('Aerodynamic Perf'!$B$24*A27^2*H27*'Aerodynamic Perf'!$B$14)</f>
        <v>5.0608916311940915</v>
      </c>
      <c r="G27">
        <f t="shared" si="1"/>
        <v>0.51589109390357712</v>
      </c>
      <c r="H27" s="75">
        <f>('Aerodynamic Perf'!$B$21+'Aerodynamic Perf'!$B$29+'Aerodynamic Perf'!$B$2+'Aerodynamic Perf'!$B$28+'Aerodynamic Perf'!$B$5)+I27^2/(PI()*'Aerodynamic Perf'!$B$7*'Aerodynamic Perf'!$B$10)</f>
        <v>4.1275736960995263E-2</v>
      </c>
      <c r="I27" s="75">
        <f>('Aircraft W+B'!$C$61)/(0.5*'Aerodynamic Perf'!$B$24*A27^2*'Aerodynamic Perf'!$B$14)</f>
        <v>0.91087682489728117</v>
      </c>
      <c r="J27">
        <f>I27*0.5*'Aerodynamic Perf'!$B$24*A27^2*'Aerodynamic Perf'!$B$14</f>
        <v>111.68423</v>
      </c>
      <c r="K27" s="76">
        <f t="shared" si="2"/>
        <v>22.068093557191755</v>
      </c>
      <c r="L27" s="76">
        <f>M27/'Systems Param+Perf'!$C$58</f>
        <v>2.361986484798674</v>
      </c>
      <c r="M27" s="2">
        <f>('Systems Param+Perf'!$C$4*((G27)^2)+'Systems Param+Perf'!$C$5*((G27))+'Systems Param+Perf'!$C$6)</f>
        <v>52.436099962530569</v>
      </c>
    </row>
    <row r="28" spans="1:13" ht="15.75" customHeight="1" x14ac:dyDescent="0.25">
      <c r="A28" s="65">
        <f t="shared" si="3"/>
        <v>16</v>
      </c>
      <c r="C28" s="79">
        <f>(('Performance Calculator'!$B$37/(((2)*M28-'Systems Param+Perf'!$C$66+'Systems Param+Perf'!$C$76+'Systems Param+Perf'!$C$83+'Systems Param+Perf'!$C$86)))/60)</f>
        <v>196.41110469734954</v>
      </c>
      <c r="D28" s="74">
        <f t="shared" si="0"/>
        <v>188.55466050945557</v>
      </c>
      <c r="F28" s="2">
        <f>0.5*('Aerodynamic Perf'!$B$24*A28^2*H28*'Aerodynamic Perf'!$B$14)</f>
        <v>4.9988325566218244</v>
      </c>
      <c r="G28">
        <f t="shared" si="1"/>
        <v>0.50956499048132764</v>
      </c>
      <c r="H28" s="75">
        <f>('Aerodynamic Perf'!$B$21+'Aerodynamic Perf'!$B$29+'Aerodynamic Perf'!$B$2+'Aerodynamic Perf'!$B$28+'Aerodynamic Perf'!$B$5)+I28^2/(PI()*'Aerodynamic Perf'!$B$7*'Aerodynamic Perf'!$B$10)</f>
        <v>3.8261308549838363E-2</v>
      </c>
      <c r="I28" s="75">
        <f>('Aircraft W+B'!$C$61)/(0.5*'Aerodynamic Perf'!$B$24*A28^2*'Aerodynamic Perf'!$B$14)</f>
        <v>0.85483655149051496</v>
      </c>
      <c r="J28">
        <f>I28*0.5*'Aerodynamic Perf'!$B$24*A28^2*'Aerodynamic Perf'!$B$14</f>
        <v>111.68423000000001</v>
      </c>
      <c r="K28" s="76">
        <f t="shared" si="2"/>
        <v>22.342062618611781</v>
      </c>
      <c r="L28" s="76">
        <f>M28/'Systems Param+Perf'!$C$58</f>
        <v>2.3263640305209266</v>
      </c>
      <c r="M28" s="2">
        <f>('Systems Param+Perf'!$C$4*((G28)^2)+'Systems Param+Perf'!$C$5*((G28))+'Systems Param+Perf'!$C$6)</f>
        <v>51.645281477564573</v>
      </c>
    </row>
    <row r="29" spans="1:13" ht="15.75" customHeight="1" x14ac:dyDescent="0.25">
      <c r="A29" s="65">
        <f t="shared" si="3"/>
        <v>16.5</v>
      </c>
      <c r="C29" s="79">
        <f>(('Performance Calculator'!$B$37/(((2)*M29-'Systems Param+Perf'!$C$66+'Systems Param+Perf'!$C$76+'Systems Param+Perf'!$C$83+'Systems Param+Perf'!$C$86)))/60)</f>
        <v>198.35264400220973</v>
      </c>
      <c r="D29" s="74">
        <f t="shared" si="0"/>
        <v>196.36911756218763</v>
      </c>
      <c r="F29" s="2">
        <f>0.5*('Aerodynamic Perf'!$B$24*A29^2*H29*'Aerodynamic Perf'!$B$14)</f>
        <v>4.9579256786309793</v>
      </c>
      <c r="G29">
        <f t="shared" si="1"/>
        <v>0.50539507427430974</v>
      </c>
      <c r="H29" s="75">
        <f>('Aerodynamic Perf'!$B$21+'Aerodynamic Perf'!$B$29+'Aerodynamic Perf'!$B$2+'Aerodynamic Perf'!$B$28+'Aerodynamic Perf'!$B$5)+I29^2/(PI()*'Aerodynamic Perf'!$B$7*'Aerodynamic Perf'!$B$10)</f>
        <v>3.5683160913716275E-2</v>
      </c>
      <c r="I29" s="75">
        <f>('Aircraft W+B'!$C$61)/(0.5*'Aerodynamic Perf'!$B$24*A29^2*'Aerodynamic Perf'!$B$14)</f>
        <v>0.8038132495190885</v>
      </c>
      <c r="J29">
        <f>I29*0.5*'Aerodynamic Perf'!$B$24*A29^2*'Aerodynamic Perf'!$B$14</f>
        <v>111.68423000000001</v>
      </c>
      <c r="K29" s="76">
        <f t="shared" si="2"/>
        <v>22.526402620629671</v>
      </c>
      <c r="L29" s="76">
        <f>M29/'Systems Param+Perf'!$C$58</f>
        <v>2.3029535059074422</v>
      </c>
      <c r="M29" s="2">
        <f>('Systems Param+Perf'!$C$4*((G29)^2)+'Systems Param+Perf'!$C$5*((G29))+'Systems Param+Perf'!$C$6)</f>
        <v>51.125567831145226</v>
      </c>
    </row>
    <row r="30" spans="1:13" ht="15.75" customHeight="1" x14ac:dyDescent="0.25">
      <c r="A30" s="65">
        <f t="shared" si="3"/>
        <v>17</v>
      </c>
      <c r="C30" s="79">
        <f>(('Performance Calculator'!$B$37/(((2)*M30-'Systems Param+Perf'!$C$66+'Systems Param+Perf'!$C$76+'Systems Param+Perf'!$C$83+'Systems Param+Perf'!$C$86)))/60)</f>
        <v>199.39791563466687</v>
      </c>
      <c r="D30" s="74">
        <f t="shared" si="0"/>
        <v>203.38587394736021</v>
      </c>
      <c r="F30" s="2">
        <f>0.5*('Aerodynamic Perf'!$B$24*A30^2*H30*'Aerodynamic Perf'!$B$14)</f>
        <v>4.936192673216965</v>
      </c>
      <c r="G30">
        <f t="shared" si="1"/>
        <v>0.50317968126574564</v>
      </c>
      <c r="H30" s="75">
        <f>('Aerodynamic Perf'!$B$21+'Aerodynamic Perf'!$B$29+'Aerodynamic Perf'!$B$2+'Aerodynamic Perf'!$B$28+'Aerodynamic Perf'!$B$5)+I30^2/(PI()*'Aerodynamic Perf'!$B$7*'Aerodynamic Perf'!$B$10)</f>
        <v>3.3467668216642599E-2</v>
      </c>
      <c r="I30" s="75">
        <f>('Aircraft W+B'!$C$61)/(0.5*'Aerodynamic Perf'!$B$24*A30^2*'Aerodynamic Perf'!$B$14)</f>
        <v>0.75722545737568092</v>
      </c>
      <c r="J30">
        <f>I30*0.5*'Aerodynamic Perf'!$B$24*A30^2*'Aerodynamic Perf'!$B$14</f>
        <v>111.68423</v>
      </c>
      <c r="K30" s="76">
        <f t="shared" si="2"/>
        <v>22.625581575448166</v>
      </c>
      <c r="L30" s="76">
        <f>M30/'Systems Param+Perf'!$C$58</f>
        <v>2.2905387110537569</v>
      </c>
      <c r="M30" s="2">
        <f>('Systems Param+Perf'!$C$4*((G30)^2)+'Systems Param+Perf'!$C$5*((G30))+'Systems Param+Perf'!$C$6)</f>
        <v>50.849959385393412</v>
      </c>
    </row>
    <row r="31" spans="1:13" ht="15.75" customHeight="1" x14ac:dyDescent="0.25">
      <c r="A31" s="65">
        <f t="shared" si="3"/>
        <v>17.5</v>
      </c>
      <c r="C31" s="79">
        <f>(('Performance Calculator'!$B$37/(((2)*M31-'Systems Param+Perf'!$C$66+'Systems Param+Perf'!$C$76+'Systems Param+Perf'!$C$83+'Systems Param+Perf'!$C$86)))/60)</f>
        <v>199.60388917816425</v>
      </c>
      <c r="D31" s="74">
        <f t="shared" si="0"/>
        <v>209.58408363707247</v>
      </c>
      <c r="F31" s="2">
        <f>0.5*('Aerodynamic Perf'!$B$24*A31^2*H31*'Aerodynamic Perf'!$B$14)</f>
        <v>4.9319337345333292</v>
      </c>
      <c r="G31">
        <f t="shared" si="1"/>
        <v>0.50274553868841276</v>
      </c>
      <c r="H31" s="75">
        <f>('Aerodynamic Perf'!$B$21+'Aerodynamic Perf'!$B$29+'Aerodynamic Perf'!$B$2+'Aerodynamic Perf'!$B$28+'Aerodynamic Perf'!$B$5)+I31^2/(PI()*'Aerodynamic Perf'!$B$7*'Aerodynamic Perf'!$B$10)</f>
        <v>3.1555301207133901E-2</v>
      </c>
      <c r="I31" s="75">
        <f>('Aircraft W+B'!$C$61)/(0.5*'Aerodynamic Perf'!$B$24*A31^2*'Aerodynamic Perf'!$B$14)</f>
        <v>0.71457357447043868</v>
      </c>
      <c r="J31">
        <f>I31*0.5*'Aerodynamic Perf'!$B$24*A31^2*'Aerodynamic Perf'!$B$14</f>
        <v>111.68423000000004</v>
      </c>
      <c r="K31" s="76">
        <f t="shared" si="2"/>
        <v>22.645119746437111</v>
      </c>
      <c r="L31" s="76">
        <f>M31/'Systems Param+Perf'!$C$58</f>
        <v>2.2881076782528846</v>
      </c>
      <c r="M31" s="2">
        <f>('Systems Param+Perf'!$C$4*((G31)^2)+'Systems Param+Perf'!$C$5*((G31))+'Systems Param+Perf'!$C$6)</f>
        <v>50.795990457214046</v>
      </c>
    </row>
    <row r="32" spans="1:13" ht="15.75" customHeight="1" x14ac:dyDescent="0.25">
      <c r="A32" s="65">
        <f t="shared" si="3"/>
        <v>18</v>
      </c>
      <c r="C32" s="79">
        <f>(('Performance Calculator'!$B$37/(((2)*M32-'Systems Param+Perf'!$C$66+'Systems Param+Perf'!$C$76+'Systems Param+Perf'!$C$83+'Systems Param+Perf'!$C$86)))/60)</f>
        <v>199.03662614678572</v>
      </c>
      <c r="D32" s="74">
        <f t="shared" si="0"/>
        <v>214.95955623852856</v>
      </c>
      <c r="F32" s="2">
        <f>0.5*('Aerodynamic Perf'!$B$24*A32^2*H32*'Aerodynamic Perf'!$B$14)</f>
        <v>4.9436818129580642</v>
      </c>
      <c r="G32">
        <f t="shared" si="1"/>
        <v>0.50394310019959876</v>
      </c>
      <c r="H32" s="75">
        <f>('Aerodynamic Perf'!$B$21+'Aerodynamic Perf'!$B$29+'Aerodynamic Perf'!$B$2+'Aerodynamic Perf'!$B$28+'Aerodynamic Perf'!$B$5)+I32^2/(PI()*'Aerodynamic Perf'!$B$7*'Aerodynamic Perf'!$B$10)</f>
        <v>2.9897625334573678E-2</v>
      </c>
      <c r="I32" s="75">
        <f>('Aircraft W+B'!$C$61)/(0.5*'Aerodynamic Perf'!$B$24*A32^2*'Aerodynamic Perf'!$B$14)</f>
        <v>0.67542641105423395</v>
      </c>
      <c r="J32">
        <f>I32*0.5*'Aerodynamic Perf'!$B$24*A32^2*'Aerodynamic Perf'!$B$14</f>
        <v>111.68423</v>
      </c>
      <c r="K32" s="76">
        <f t="shared" si="2"/>
        <v>22.591306282548448</v>
      </c>
      <c r="L32" s="76">
        <f>M32/'Systems Param+Perf'!$C$58</f>
        <v>2.2948150360256339</v>
      </c>
      <c r="M32" s="2">
        <f>('Systems Param+Perf'!$C$4*((G32)^2)+'Systems Param+Perf'!$C$5*((G32))+'Systems Param+Perf'!$C$6)</f>
        <v>50.944893799769076</v>
      </c>
    </row>
    <row r="33" spans="1:13" ht="15.75" customHeight="1" x14ac:dyDescent="0.25">
      <c r="A33" s="65">
        <f t="shared" si="3"/>
        <v>18.5</v>
      </c>
      <c r="C33" s="79">
        <f>(('Performance Calculator'!$B$37/(((2)*M33-'Systems Param+Perf'!$C$66+'Systems Param+Perf'!$C$76+'Systems Param+Perf'!$C$83+'Systems Param+Perf'!$C$86)))/60)</f>
        <v>197.76819342271509</v>
      </c>
      <c r="D33" s="74">
        <f t="shared" si="0"/>
        <v>219.52269469921373</v>
      </c>
      <c r="F33" s="2">
        <f>0.5*('Aerodynamic Perf'!$B$24*A33^2*H33*'Aerodynamic Perf'!$B$14)</f>
        <v>4.9701653909117374</v>
      </c>
      <c r="G33">
        <f t="shared" si="1"/>
        <v>0.50664275136714954</v>
      </c>
      <c r="H33" s="75">
        <f>('Aerodynamic Perf'!$B$21+'Aerodynamic Perf'!$B$29+'Aerodynamic Perf'!$B$2+'Aerodynamic Perf'!$B$28+'Aerodynamic Perf'!$B$5)+I33^2/(PI()*'Aerodynamic Perf'!$B$7*'Aerodynamic Perf'!$B$10)</f>
        <v>2.8454999263113102E-2</v>
      </c>
      <c r="I33" s="75">
        <f>('Aircraft W+B'!$C$61)/(0.5*'Aerodynamic Perf'!$B$24*A33^2*'Aerodynamic Perf'!$B$14)</f>
        <v>0.63941024742606822</v>
      </c>
      <c r="J33">
        <f>I33*0.5*'Aerodynamic Perf'!$B$24*A33^2*'Aerodynamic Perf'!$B$14</f>
        <v>111.68423000000001</v>
      </c>
      <c r="K33" s="76">
        <f t="shared" si="2"/>
        <v>22.470928272170124</v>
      </c>
      <c r="L33" s="76">
        <f>M33/'Systems Param+Perf'!$C$58</f>
        <v>2.3099522859489037</v>
      </c>
      <c r="M33" s="2">
        <f>('Systems Param+Perf'!$C$4*((G33)^2)+'Systems Param+Perf'!$C$5*((G33))+'Systems Param+Perf'!$C$6)</f>
        <v>51.280940748065667</v>
      </c>
    </row>
    <row r="34" spans="1:13" ht="15.75" customHeight="1" x14ac:dyDescent="0.25">
      <c r="A34" s="65">
        <f t="shared" si="3"/>
        <v>19</v>
      </c>
      <c r="B34" s="78"/>
      <c r="C34" s="79">
        <f>(('Performance Calculator'!$B$37/(((2)*M34-'Systems Param+Perf'!$C$66+'Systems Param+Perf'!$C$76+'Systems Param+Perf'!$C$83+'Systems Param+Perf'!$C$86)))/60)</f>
        <v>195.87384387332074</v>
      </c>
      <c r="D34" s="74">
        <f t="shared" si="0"/>
        <v>223.29618201558563</v>
      </c>
      <c r="F34" s="2">
        <f>0.5*('Aerodynamic Perf'!$B$24*A34^2*H34*'Aerodynamic Perf'!$B$14)</f>
        <v>5.0102780233536599</v>
      </c>
      <c r="G34">
        <f t="shared" si="1"/>
        <v>0.51073170472514373</v>
      </c>
      <c r="H34" s="75">
        <f>('Aerodynamic Perf'!$B$21+'Aerodynamic Perf'!$B$29+'Aerodynamic Perf'!$B$2+'Aerodynamic Perf'!$B$28+'Aerodynamic Perf'!$B$5)+I34^2/(PI()*'Aerodynamic Perf'!$B$7*'Aerodynamic Perf'!$B$10)</f>
        <v>2.7194796825701209E-2</v>
      </c>
      <c r="I34" s="75">
        <f>('Aircraft W+B'!$C$61)/(0.5*'Aerodynamic Perf'!$B$24*A34^2*'Aerodynamic Perf'!$B$14)</f>
        <v>0.60619988138939562</v>
      </c>
      <c r="J34">
        <f>I34*0.5*'Aerodynamic Perf'!$B$24*A34^2*'Aerodynamic Perf'!$B$14</f>
        <v>111.68423000000001</v>
      </c>
      <c r="K34" s="76">
        <f t="shared" si="2"/>
        <v>22.291024465992308</v>
      </c>
      <c r="L34" s="76">
        <f>M34/'Systems Param+Perf'!$C$58</f>
        <v>2.3329241489662849</v>
      </c>
      <c r="M34" s="2">
        <f>('Systems Param+Perf'!$C$4*((G34)^2)+'Systems Param+Perf'!$C$5*((G34))+'Systems Param+Perf'!$C$6)</f>
        <v>51.79091610705153</v>
      </c>
    </row>
    <row r="35" spans="1:13" ht="15.75" customHeight="1" x14ac:dyDescent="0.25">
      <c r="A35" s="65">
        <f t="shared" si="3"/>
        <v>19.5</v>
      </c>
      <c r="B35" s="78"/>
      <c r="C35" s="79">
        <f>(('Performance Calculator'!$B$37/(((2)*M35-'Systems Param+Perf'!$C$66+'Systems Param+Perf'!$C$76+'Systems Param+Perf'!$C$83+'Systems Param+Perf'!$C$86)))/60)</f>
        <v>193.4295627889536</v>
      </c>
      <c r="D35" s="74">
        <f t="shared" si="0"/>
        <v>226.31258846307571</v>
      </c>
      <c r="F35" s="2">
        <f>0.5*('Aerodynamic Perf'!$B$24*A35^2*H35*'Aerodynamic Perf'!$B$14)</f>
        <v>5.0630532736294711</v>
      </c>
      <c r="G35">
        <f t="shared" si="1"/>
        <v>0.51611144481442106</v>
      </c>
      <c r="H35" s="75">
        <f>('Aerodynamic Perf'!$B$21+'Aerodynamic Perf'!$B$29+'Aerodynamic Perf'!$B$2+'Aerodynamic Perf'!$B$28+'Aerodynamic Perf'!$B$5)+I35^2/(PI()*'Aerodynamic Perf'!$B$7*'Aerodynamic Perf'!$B$10)</f>
        <v>2.6090023421368996E-2</v>
      </c>
      <c r="I35" s="75">
        <f>('Aircraft W+B'!$C$61)/(0.5*'Aerodynamic Perf'!$B$24*A35^2*'Aerodynamic Perf'!$B$14)</f>
        <v>0.5755112614899982</v>
      </c>
      <c r="J35">
        <f>I35*0.5*'Aerodynamic Perf'!$B$24*A35^2*'Aerodynamic Perf'!$B$14</f>
        <v>111.68423</v>
      </c>
      <c r="K35" s="76">
        <f t="shared" si="2"/>
        <v>22.058671707386299</v>
      </c>
      <c r="L35" s="76">
        <f>M35/'Systems Param+Perf'!$C$58</f>
        <v>2.3632296062800782</v>
      </c>
      <c r="M35" s="2">
        <f>('Systems Param+Perf'!$C$4*((G35)^2)+'Systems Param+Perf'!$C$5*((G35))+'Systems Param+Perf'!$C$6)</f>
        <v>52.463697259417742</v>
      </c>
    </row>
    <row r="36" spans="1:13" ht="15.75" customHeight="1" x14ac:dyDescent="0.25">
      <c r="A36" s="65">
        <f t="shared" si="3"/>
        <v>20</v>
      </c>
      <c r="B36" s="78"/>
      <c r="C36" s="79">
        <f>(('Performance Calculator'!$B$37/(((2)*M36-'Systems Param+Perf'!$C$66+'Systems Param+Perf'!$C$76+'Systems Param+Perf'!$C$83+'Systems Param+Perf'!$C$86)))/60)</f>
        <v>190.51003240528954</v>
      </c>
      <c r="D36" s="74">
        <f t="shared" si="0"/>
        <v>228.61203888634745</v>
      </c>
      <c r="F36" s="2">
        <f>0.5*('Aerodynamic Perf'!$B$24*A36^2*H36*'Aerodynamic Perf'!$B$14)</f>
        <v>5.127643979463774</v>
      </c>
      <c r="G36">
        <f t="shared" si="1"/>
        <v>0.52269561462423786</v>
      </c>
      <c r="H36" s="75">
        <f>('Aerodynamic Perf'!$B$21+'Aerodynamic Perf'!$B$29+'Aerodynamic Perf'!$B$2+'Aerodynamic Perf'!$B$28+'Aerodynamic Perf'!$B$5)+I36^2/(PI()*'Aerodynamic Perf'!$B$7*'Aerodynamic Perf'!$B$10)</f>
        <v>2.5118231982013791E-2</v>
      </c>
      <c r="I36" s="75">
        <f>('Aircraft W+B'!$C$61)/(0.5*'Aerodynamic Perf'!$B$24*A36^2*'Aerodynamic Perf'!$B$14)</f>
        <v>0.5470953929539295</v>
      </c>
      <c r="J36">
        <f>I36*0.5*'Aerodynamic Perf'!$B$24*A36^2*'Aerodynamic Perf'!$B$14</f>
        <v>111.68423000000001</v>
      </c>
      <c r="K36" s="76">
        <f t="shared" si="2"/>
        <v>21.780808193255151</v>
      </c>
      <c r="L36" s="76">
        <f>M36/'Systems Param+Perf'!$C$58</f>
        <v>2.4004466000371689</v>
      </c>
      <c r="M36" s="2">
        <f>('Systems Param+Perf'!$C$4*((G36)^2)+'Systems Param+Perf'!$C$5*((G36))+'Systems Param+Perf'!$C$6)</f>
        <v>53.289914520825157</v>
      </c>
    </row>
    <row r="37" spans="1:13" ht="15.75" customHeight="1" x14ac:dyDescent="0.25">
      <c r="A37" s="65">
        <f t="shared" si="3"/>
        <v>20.5</v>
      </c>
      <c r="B37" s="78"/>
      <c r="C37" s="79">
        <f>(('Performance Calculator'!$B$37/(((2)*M37-'Systems Param+Perf'!$C$66+'Systems Param+Perf'!$C$76+'Systems Param+Perf'!$C$83+'Systems Param+Perf'!$C$86)))/60)</f>
        <v>187.1870273516044</v>
      </c>
      <c r="D37" s="74">
        <f t="shared" si="0"/>
        <v>230.24004364247344</v>
      </c>
      <c r="F37" s="2">
        <f>0.5*('Aerodynamic Perf'!$B$24*A37^2*H37*'Aerodynamic Perf'!$B$14)</f>
        <v>5.2033050147742941</v>
      </c>
      <c r="G37">
        <f t="shared" si="1"/>
        <v>0.53040825838677819</v>
      </c>
      <c r="H37" s="75">
        <f>('Aerodynamic Perf'!$B$21+'Aerodynamic Perf'!$B$29+'Aerodynamic Perf'!$B$2+'Aerodynamic Perf'!$B$28+'Aerodynamic Perf'!$B$5)+I37^2/(PI()*'Aerodynamic Perf'!$B$7*'Aerodynamic Perf'!$B$10)</f>
        <v>2.4260668143539142E-2</v>
      </c>
      <c r="I37" s="75">
        <f>('Aircraft W+B'!$C$61)/(0.5*'Aerodynamic Perf'!$B$24*A37^2*'Aerodynamic Perf'!$B$14)</f>
        <v>0.52073327110427559</v>
      </c>
      <c r="J37">
        <f>I37*0.5*'Aerodynamic Perf'!$B$24*A37^2*'Aerodynamic Perf'!$B$14</f>
        <v>111.68423000000001</v>
      </c>
      <c r="K37" s="76">
        <f t="shared" si="2"/>
        <v>21.464094394405706</v>
      </c>
      <c r="L37" s="76">
        <f>M37/'Systems Param+Perf'!$C$58</f>
        <v>2.4442196083584657</v>
      </c>
      <c r="M37" s="2">
        <f>('Systems Param+Perf'!$C$4*((G37)^2)+'Systems Param+Perf'!$C$5*((G37))+'Systems Param+Perf'!$C$6)</f>
        <v>54.261675305557951</v>
      </c>
    </row>
    <row r="38" spans="1:13" ht="15.75" customHeight="1" x14ac:dyDescent="0.25">
      <c r="A38" s="65">
        <f t="shared" si="3"/>
        <v>21</v>
      </c>
      <c r="B38" s="78"/>
      <c r="C38" s="79">
        <f>(('Performance Calculator'!$B$37/(((2)*M38-'Systems Param+Perf'!$C$66+'Systems Param+Perf'!$C$76+'Systems Param+Perf'!$C$83+'Systems Param+Perf'!$C$86)))/60)</f>
        <v>183.52822352452083</v>
      </c>
      <c r="D38" s="74">
        <f t="shared" si="0"/>
        <v>231.24556164089626</v>
      </c>
      <c r="F38" s="2">
        <f>0.5*('Aerodynamic Perf'!$B$24*A38^2*H38*'Aerodynamic Perf'!$B$14)</f>
        <v>5.2893788895728777</v>
      </c>
      <c r="G38">
        <f t="shared" si="1"/>
        <v>0.53918235367715361</v>
      </c>
      <c r="H38" s="75">
        <f>('Aerodynamic Perf'!$B$21+'Aerodynamic Perf'!$B$29+'Aerodynamic Perf'!$B$2+'Aerodynamic Perf'!$B$28+'Aerodynamic Perf'!$B$5)+I38^2/(PI()*'Aerodynamic Perf'!$B$7*'Aerodynamic Perf'!$B$10)</f>
        <v>2.3501592017329237E-2</v>
      </c>
      <c r="I38" s="75">
        <f>('Aircraft W+B'!$C$61)/(0.5*'Aerodynamic Perf'!$B$24*A38^2*'Aerodynamic Perf'!$B$14)</f>
        <v>0.49623164893780464</v>
      </c>
      <c r="J38">
        <f>I38*0.5*'Aerodynamic Perf'!$B$24*A38^2*'Aerodynamic Perf'!$B$14</f>
        <v>111.68423000000004</v>
      </c>
      <c r="K38" s="76">
        <f t="shared" si="2"/>
        <v>21.114809948700543</v>
      </c>
      <c r="L38" s="76">
        <f>M38/'Systems Param+Perf'!$C$58</f>
        <v>2.4942494937167292</v>
      </c>
      <c r="M38" s="2">
        <f>('Systems Param+Perf'!$C$4*((G38)^2)+'Systems Param+Perf'!$C$5*((G38))+'Systems Param+Perf'!$C$6)</f>
        <v>55.372338760511397</v>
      </c>
    </row>
    <row r="39" spans="1:13" ht="15.75" customHeight="1" x14ac:dyDescent="0.25">
      <c r="A39" s="65">
        <f t="shared" si="3"/>
        <v>21.5</v>
      </c>
      <c r="B39" s="78"/>
      <c r="C39" s="79">
        <f>(('Performance Calculator'!$B$37/(((2)*M39-'Systems Param+Perf'!$C$66+'Systems Param+Perf'!$C$76+'Systems Param+Perf'!$C$83+'Systems Param+Perf'!$C$86)))/60)</f>
        <v>179.59638201526559</v>
      </c>
      <c r="D39" s="74">
        <f t="shared" si="0"/>
        <v>231.67933279969262</v>
      </c>
      <c r="F39" s="2">
        <f>0.5*('Aerodynamic Perf'!$B$24*A39^2*H39*'Aerodynamic Perf'!$B$14)</f>
        <v>5.3852836662346375</v>
      </c>
      <c r="G39">
        <f t="shared" si="1"/>
        <v>0.54895857963655836</v>
      </c>
      <c r="H39" s="75">
        <f>('Aerodynamic Perf'!$B$21+'Aerodynamic Perf'!$B$29+'Aerodynamic Perf'!$B$2+'Aerodynamic Perf'!$B$28+'Aerodynamic Perf'!$B$5)+I39^2/(PI()*'Aerodynamic Perf'!$B$7*'Aerodynamic Perf'!$B$10)</f>
        <v>2.2827736938755814E-2</v>
      </c>
      <c r="I39" s="75">
        <f>('Aircraft W+B'!$C$61)/(0.5*'Aerodynamic Perf'!$B$24*A39^2*'Aerodynamic Perf'!$B$14)</f>
        <v>0.47341948551989582</v>
      </c>
      <c r="J39">
        <f>I39*0.5*'Aerodynamic Perf'!$B$24*A39^2*'Aerodynamic Perf'!$B$14</f>
        <v>111.68423000000004</v>
      </c>
      <c r="K39" s="76">
        <f t="shared" si="2"/>
        <v>20.738783121166399</v>
      </c>
      <c r="L39" s="76">
        <f>M39/'Systems Param+Perf'!$C$58</f>
        <v>2.5502851613000872</v>
      </c>
      <c r="M39" s="2">
        <f>('Systems Param+Perf'!$C$4*((G39)^2)+'Systems Param+Perf'!$C$5*((G39))+'Systems Param+Perf'!$C$6)</f>
        <v>56.616330580861941</v>
      </c>
    </row>
    <row r="40" spans="1:13" ht="15.75" customHeight="1" x14ac:dyDescent="0.25">
      <c r="A40" s="65">
        <f t="shared" si="3"/>
        <v>22</v>
      </c>
      <c r="B40" s="78"/>
      <c r="C40" s="79">
        <f>(('Performance Calculator'!$B$37/(((2)*M40-'Systems Param+Perf'!$C$66+'Systems Param+Perf'!$C$76+'Systems Param+Perf'!$C$83+'Systems Param+Perf'!$C$86)))/60)</f>
        <v>175.44885748989029</v>
      </c>
      <c r="D40" s="74">
        <f t="shared" si="0"/>
        <v>231.59249188665518</v>
      </c>
      <c r="F40" s="2">
        <f>0.5*('Aerodynamic Perf'!$B$24*A40^2*H40*'Aerodynamic Perf'!$B$14)</f>
        <v>5.4905027758831508</v>
      </c>
      <c r="G40">
        <f t="shared" si="1"/>
        <v>0.55968427888717132</v>
      </c>
      <c r="H40" s="75">
        <f>('Aerodynamic Perf'!$B$21+'Aerodynamic Perf'!$B$29+'Aerodynamic Perf'!$B$2+'Aerodynamic Perf'!$B$28+'Aerodynamic Perf'!$B$5)+I40^2/(PI()*'Aerodynamic Perf'!$B$7*'Aerodynamic Perf'!$B$10)</f>
        <v>2.2227875132855537E-2</v>
      </c>
      <c r="I40" s="75">
        <f>('Aircraft W+B'!$C$61)/(0.5*'Aerodynamic Perf'!$B$24*A40^2*'Aerodynamic Perf'!$B$14)</f>
        <v>0.45214495285448719</v>
      </c>
      <c r="J40">
        <f>I40*0.5*'Aerodynamic Perf'!$B$24*A40^2*'Aerodynamic Perf'!$B$14</f>
        <v>111.68423</v>
      </c>
      <c r="K40" s="76">
        <f t="shared" si="2"/>
        <v>20.341348426335241</v>
      </c>
      <c r="L40" s="76">
        <f>M40/'Systems Param+Perf'!$C$58</f>
        <v>2.6121166675324421</v>
      </c>
      <c r="M40" s="2">
        <f>('Systems Param+Perf'!$C$4*((G40)^2)+'Systems Param+Perf'!$C$5*((G40))+'Systems Param+Perf'!$C$6)</f>
        <v>57.988990019220218</v>
      </c>
    </row>
    <row r="41" spans="1:13" ht="15.75" customHeight="1" x14ac:dyDescent="0.25">
      <c r="A41" s="65">
        <f t="shared" si="3"/>
        <v>22.5</v>
      </c>
      <c r="B41" s="78"/>
      <c r="C41" s="79">
        <f>(('Performance Calculator'!$B$37/(((2)*M41-'Systems Param+Perf'!$C$66+'Systems Param+Perf'!$C$76+'Systems Param+Perf'!$C$83+'Systems Param+Perf'!$C$86)))/60)</f>
        <v>171.13737531719303</v>
      </c>
      <c r="D41" s="74">
        <f t="shared" si="0"/>
        <v>231.03545667821061</v>
      </c>
      <c r="F41" s="2">
        <f>0.5*('Aerodynamic Perf'!$B$24*A41^2*H41*'Aerodynamic Perf'!$B$14)</f>
        <v>5.6045764009383223</v>
      </c>
      <c r="G41">
        <f t="shared" si="1"/>
        <v>0.57131257909666888</v>
      </c>
      <c r="H41" s="75">
        <f>('Aerodynamic Perf'!$B$21+'Aerodynamic Perf'!$B$29+'Aerodynamic Perf'!$B$2+'Aerodynamic Perf'!$B$28+'Aerodynamic Perf'!$B$5)+I41^2/(PI()*'Aerodynamic Perf'!$B$7*'Aerodynamic Perf'!$B$10)</f>
        <v>2.1692467337041381E-2</v>
      </c>
      <c r="I41" s="75">
        <f>('Aircraft W+B'!$C$61)/(0.5*'Aerodynamic Perf'!$B$24*A41^2*'Aerodynamic Perf'!$B$14)</f>
        <v>0.43227290307470978</v>
      </c>
      <c r="J41">
        <f>I41*0.5*'Aerodynamic Perf'!$B$24*A41^2*'Aerodynamic Perf'!$B$14</f>
        <v>111.68423000000001</v>
      </c>
      <c r="K41" s="76">
        <f t="shared" si="2"/>
        <v>19.927327599870303</v>
      </c>
      <c r="L41" s="76">
        <f>M41/'Systems Param+Perf'!$C$58</f>
        <v>2.6795694974082185</v>
      </c>
      <c r="M41" s="2">
        <f>('Systems Param+Perf'!$C$4*((G41)^2)+'Systems Param+Perf'!$C$5*((G41))+'Systems Param+Perf'!$C$6)</f>
        <v>59.486442842462459</v>
      </c>
    </row>
    <row r="42" spans="1:13" ht="15.75" customHeight="1" x14ac:dyDescent="0.25">
      <c r="A42" s="65">
        <f t="shared" si="3"/>
        <v>23</v>
      </c>
      <c r="B42" s="78"/>
      <c r="C42" s="79">
        <f>(('Performance Calculator'!$B$37/(((2)*M42-'Systems Param+Perf'!$C$66+'Systems Param+Perf'!$C$76+'Systems Param+Perf'!$C$83+'Systems Param+Perf'!$C$86)))/60)</f>
        <v>166.70802198448959</v>
      </c>
      <c r="D42" s="80">
        <f t="shared" si="0"/>
        <v>230.05707033859562</v>
      </c>
      <c r="F42" s="2">
        <f>0.5*('Aerodynamic Perf'!$B$24*A42^2*H42*'Aerodynamic Perf'!$B$14)</f>
        <v>5.72709415448203</v>
      </c>
      <c r="G42">
        <f t="shared" si="1"/>
        <v>0.58380164673619062</v>
      </c>
      <c r="H42" s="75">
        <f>('Aerodynamic Perf'!$B$21+'Aerodynamic Perf'!$B$29+'Aerodynamic Perf'!$B$2+'Aerodynamic Perf'!$B$28+'Aerodynamic Perf'!$B$5)+I42^2/(PI()*'Aerodynamic Perf'!$B$7*'Aerodynamic Perf'!$B$10)</f>
        <v>2.121337872978658E-2</v>
      </c>
      <c r="I42" s="75">
        <f>('Aircraft W+B'!$C$61)/(0.5*'Aerodynamic Perf'!$B$24*A42^2*'Aerodynamic Perf'!$B$14)</f>
        <v>0.41368271678936064</v>
      </c>
      <c r="J42">
        <f>I42*0.5*'Aerodynamic Perf'!$B$24*A42^2*'Aerodynamic Perf'!$B$14</f>
        <v>111.68423</v>
      </c>
      <c r="K42" s="76">
        <f t="shared" si="2"/>
        <v>19.501029141034081</v>
      </c>
      <c r="L42" s="76">
        <f>M42/'Systems Param+Perf'!$C$58</f>
        <v>2.7524997892345784</v>
      </c>
      <c r="M42" s="2">
        <f>('Systems Param+Perf'!$C$4*((G42)^2)+'Systems Param+Perf'!$C$5*((G42))+'Systems Param+Perf'!$C$6)</f>
        <v>61.105495321007652</v>
      </c>
    </row>
    <row r="43" spans="1:13" ht="15.75" customHeight="1" x14ac:dyDescent="0.25">
      <c r="A43" s="65">
        <f t="shared" si="3"/>
        <v>23.5</v>
      </c>
      <c r="B43" s="78"/>
      <c r="C43" s="79">
        <f>(('Performance Calculator'!$B$37/(((2)*M43-'Systems Param+Perf'!$C$66+'Systems Param+Perf'!$C$76+'Systems Param+Perf'!$C$83+'Systems Param+Perf'!$C$86)))/60)</f>
        <v>162.20139721766134</v>
      </c>
      <c r="D43" s="80">
        <f t="shared" si="0"/>
        <v>228.70397007690246</v>
      </c>
      <c r="F43" s="2">
        <f>0.5*('Aerodynamic Perf'!$B$24*A43^2*H43*'Aerodynamic Perf'!$B$14)</f>
        <v>5.8576888381095404</v>
      </c>
      <c r="G43">
        <f t="shared" si="1"/>
        <v>0.59711405077569213</v>
      </c>
      <c r="H43" s="75">
        <f>('Aerodynamic Perf'!$B$21+'Aerodynamic Perf'!$B$29+'Aerodynamic Perf'!$B$2+'Aerodynamic Perf'!$B$28+'Aerodynamic Perf'!$B$5)+I43^2/(PI()*'Aerodynamic Perf'!$B$7*'Aerodynamic Perf'!$B$10)</f>
        <v>2.0783647511785158E-2</v>
      </c>
      <c r="I43" s="75">
        <f>('Aircraft W+B'!$C$61)/(0.5*'Aerodynamic Perf'!$B$24*A43^2*'Aerodynamic Perf'!$B$14)</f>
        <v>0.3962664684138919</v>
      </c>
      <c r="J43">
        <f>I43*0.5*'Aerodynamic Perf'!$B$24*A43^2*'Aerodynamic Perf'!$B$14</f>
        <v>111.68423</v>
      </c>
      <c r="K43" s="76">
        <f t="shared" si="2"/>
        <v>19.066261982608825</v>
      </c>
      <c r="L43" s="76">
        <f>M43/'Systems Param+Perf'!$C$58</f>
        <v>2.8307903314637954</v>
      </c>
      <c r="M43" s="2">
        <f>('Systems Param+Perf'!$C$4*((G43)^2)+'Systems Param+Perf'!$C$5*((G43))+'Systems Param+Perf'!$C$6)</f>
        <v>62.843545358496272</v>
      </c>
    </row>
    <row r="44" spans="1:13" ht="15.75" customHeight="1" x14ac:dyDescent="0.25">
      <c r="A44" s="65">
        <f t="shared" si="3"/>
        <v>24</v>
      </c>
      <c r="B44" s="78"/>
      <c r="C44" s="79">
        <f>(('Performance Calculator'!$B$37/(((2)*M44-'Systems Param+Perf'!$C$66+'Systems Param+Perf'!$C$76+'Systems Param+Perf'!$C$83+'Systems Param+Perf'!$C$86)))/60)</f>
        <v>157.6528822468899</v>
      </c>
      <c r="D44" s="74">
        <f t="shared" si="0"/>
        <v>227.02015043552143</v>
      </c>
      <c r="F44" s="2">
        <f>0.5*('Aerodynamic Perf'!$B$24*A44^2*H44*'Aerodynamic Perf'!$B$14)</f>
        <v>5.9960311004340729</v>
      </c>
      <c r="G44">
        <f t="shared" si="1"/>
        <v>0.61121621818899818</v>
      </c>
      <c r="H44" s="75">
        <f>('Aerodynamic Perf'!$B$21+'Aerodynamic Perf'!$B$29+'Aerodynamic Perf'!$B$2+'Aerodynamic Perf'!$B$28+'Aerodynamic Perf'!$B$5)+I44^2/(PI()*'Aerodynamic Perf'!$B$7*'Aerodynamic Perf'!$B$10)</f>
        <v>2.0397295516017454E-2</v>
      </c>
      <c r="I44" s="75">
        <f>('Aircraft W+B'!$C$61)/(0.5*'Aerodynamic Perf'!$B$24*A44^2*'Aerodynamic Perf'!$B$14)</f>
        <v>0.37992735621800666</v>
      </c>
      <c r="J44">
        <f>I44*0.5*'Aerodynamic Perf'!$B$24*A44^2*'Aerodynamic Perf'!$B$14</f>
        <v>111.68423000000001</v>
      </c>
      <c r="K44" s="76">
        <f t="shared" si="2"/>
        <v>18.626359358261972</v>
      </c>
      <c r="L44" s="76">
        <f>M44/'Systems Param+Perf'!$C$58</f>
        <v>2.9143471919763808</v>
      </c>
      <c r="M44" s="2">
        <f>('Systems Param+Perf'!$C$4*((G44)^2)+'Systems Param+Perf'!$C$5*((G44))+'Systems Param+Perf'!$C$6)</f>
        <v>64.698507661875666</v>
      </c>
    </row>
    <row r="45" spans="1:13" ht="15.75" customHeight="1" x14ac:dyDescent="0.25">
      <c r="A45" s="65">
        <f t="shared" si="3"/>
        <v>24.5</v>
      </c>
      <c r="C45" s="79">
        <f>(('Performance Calculator'!$B$37/(((2)*M45-'Systems Param+Perf'!$C$66+'Systems Param+Perf'!$C$76+'Systems Param+Perf'!$C$83+'Systems Param+Perf'!$C$86)))/60)</f>
        <v>153.09298566751153</v>
      </c>
      <c r="D45" s="74">
        <f t="shared" si="0"/>
        <v>225.04668893124196</v>
      </c>
      <c r="F45" s="2">
        <f>0.5*('Aerodynamic Perf'!$B$24*A45^2*H45*'Aerodynamic Perf'!$B$14)</f>
        <v>6.1418248507329372</v>
      </c>
      <c r="G45">
        <f t="shared" si="1"/>
        <v>0.62607796643556946</v>
      </c>
      <c r="H45" s="75">
        <f>('Aerodynamic Perf'!$B$21+'Aerodynamic Perf'!$B$29+'Aerodynamic Perf'!$B$2+'Aerodynamic Perf'!$B$28+'Aerodynamic Perf'!$B$5)+I45^2/(PI()*'Aerodynamic Perf'!$B$7*'Aerodynamic Perf'!$B$10)</f>
        <v>2.004917253413523E-2</v>
      </c>
      <c r="I45" s="75">
        <f>('Aircraft W+B'!$C$61)/(0.5*'Aerodynamic Perf'!$B$24*A45^2*'Aerodynamic Perf'!$B$14)</f>
        <v>0.36457835432165231</v>
      </c>
      <c r="J45">
        <f>I45*0.5*'Aerodynamic Perf'!$B$24*A45^2*'Aerodynamic Perf'!$B$14</f>
        <v>111.68423</v>
      </c>
      <c r="K45" s="76">
        <f t="shared" si="2"/>
        <v>18.18420953288372</v>
      </c>
      <c r="L45" s="76">
        <f>M45/'Systems Param+Perf'!$C$58</f>
        <v>3.0030968679687851</v>
      </c>
      <c r="M45" s="2">
        <f>('Systems Param+Perf'!$C$4*((G45)^2)+'Systems Param+Perf'!$C$5*((G45))+'Systems Param+Perf'!$C$6)</f>
        <v>66.668750468907035</v>
      </c>
    </row>
    <row r="46" spans="1:13" ht="15.75" customHeight="1" x14ac:dyDescent="0.25">
      <c r="A46" s="65">
        <f t="shared" si="3"/>
        <v>25</v>
      </c>
      <c r="C46" s="79">
        <f>(('Performance Calculator'!$B$37/(((2)*M46-'Systems Param+Perf'!$C$66+'Systems Param+Perf'!$C$76+'Systems Param+Perf'!$C$83+'Systems Param+Perf'!$C$86)))/60)</f>
        <v>148.54773549461029</v>
      </c>
      <c r="D46" s="74">
        <f t="shared" si="0"/>
        <v>222.82160324191545</v>
      </c>
      <c r="F46" s="2">
        <f>0.5*('Aerodynamic Perf'!$B$24*A46^2*H46*'Aerodynamic Perf'!$B$14)</f>
        <v>6.2948033081471388</v>
      </c>
      <c r="G46">
        <f t="shared" si="1"/>
        <v>0.6416721007285564</v>
      </c>
      <c r="H46" s="75">
        <f>('Aerodynamic Perf'!$B$21+'Aerodynamic Perf'!$B$29+'Aerodynamic Perf'!$B$2+'Aerodynamic Perf'!$B$28+'Aerodynamic Perf'!$B$5)+I46^2/(PI()*'Aerodynamic Perf'!$B$7*'Aerodynamic Perf'!$B$10)</f>
        <v>1.9734827819832851E-2</v>
      </c>
      <c r="I46" s="75">
        <f>('Aircraft W+B'!$C$61)/(0.5*'Aerodynamic Perf'!$B$24*A46^2*'Aerodynamic Perf'!$B$14)</f>
        <v>0.35014105149051494</v>
      </c>
      <c r="J46">
        <f>I46*0.5*'Aerodynamic Perf'!$B$24*A46^2*'Aerodynamic Perf'!$B$14</f>
        <v>111.68423000000001</v>
      </c>
      <c r="K46" s="76">
        <f t="shared" si="2"/>
        <v>17.742290669424271</v>
      </c>
      <c r="L46" s="76">
        <f>M46/'Systems Param+Perf'!$C$58</f>
        <v>3.0969838663815636</v>
      </c>
      <c r="M46" s="2">
        <f>('Systems Param+Perf'!$C$4*((G46)^2)+'Systems Param+Perf'!$C$5*((G46))+'Systems Param+Perf'!$C$6)</f>
        <v>68.753041833670721</v>
      </c>
    </row>
    <row r="47" spans="1:13" ht="15.75" customHeight="1" x14ac:dyDescent="0.25">
      <c r="A47" s="65">
        <f t="shared" si="3"/>
        <v>25.5</v>
      </c>
      <c r="C47" s="79">
        <f>(('Performance Calculator'!$B$37/(((2)*M47-'Systems Param+Perf'!$C$66+'Systems Param+Perf'!$C$76+'Systems Param+Perf'!$C$83+'Systems Param+Perf'!$C$86)))/60)</f>
        <v>144.03909274679671</v>
      </c>
      <c r="D47" s="74">
        <f t="shared" si="0"/>
        <v>220.37981190259896</v>
      </c>
      <c r="F47" s="2">
        <f>0.5*('Aerodynamic Perf'!$B$24*A47^2*H47*'Aerodynamic Perf'!$B$14)</f>
        <v>6.4547255877380074</v>
      </c>
      <c r="G47">
        <f t="shared" si="1"/>
        <v>0.65797406602833919</v>
      </c>
      <c r="H47" s="75">
        <f>('Aerodynamic Perf'!$B$21+'Aerodynamic Perf'!$B$29+'Aerodynamic Perf'!$B$2+'Aerodynamic Perf'!$B$28+'Aerodynamic Perf'!$B$5)+I47^2/(PI()*'Aerodynamic Perf'!$B$7*'Aerodynamic Perf'!$B$10)</f>
        <v>1.9450403598349156E-2</v>
      </c>
      <c r="I47" s="75">
        <f>('Aircraft W+B'!$C$61)/(0.5*'Aerodynamic Perf'!$B$24*A47^2*'Aerodynamic Perf'!$B$14)</f>
        <v>0.33654464772252485</v>
      </c>
      <c r="J47">
        <f>I47*0.5*'Aerodynamic Perf'!$B$24*A47^2*'Aerodynamic Perf'!$B$14</f>
        <v>111.68423</v>
      </c>
      <c r="K47" s="76">
        <f t="shared" si="2"/>
        <v>17.302707680116669</v>
      </c>
      <c r="L47" s="76">
        <f>M47/'Systems Param+Perf'!$C$58</f>
        <v>3.1959686419732685</v>
      </c>
      <c r="M47" s="2">
        <f>('Systems Param+Perf'!$C$4*((G47)^2)+'Systems Param+Perf'!$C$5*((G47))+'Systems Param+Perf'!$C$6)</f>
        <v>70.950503851806573</v>
      </c>
    </row>
    <row r="48" spans="1:13" ht="15.75" customHeight="1" x14ac:dyDescent="0.25">
      <c r="A48" s="65">
        <f t="shared" si="3"/>
        <v>26</v>
      </c>
      <c r="C48" s="79">
        <f>(('Performance Calculator'!$B$37/(((2)*M48-'Systems Param+Perf'!$C$66+'Systems Param+Perf'!$C$76+'Systems Param+Perf'!$C$83+'Systems Param+Perf'!$C$86)))/60)</f>
        <v>139.58536789873239</v>
      </c>
      <c r="D48" s="74">
        <f t="shared" si="0"/>
        <v>217.75317392202251</v>
      </c>
      <c r="F48" s="2">
        <f>0.5*('Aerodynamic Perf'!$B$24*A48^2*H48*'Aerodynamic Perf'!$B$14)</f>
        <v>6.621373741618191</v>
      </c>
      <c r="G48">
        <f t="shared" si="1"/>
        <v>0.67496164542489201</v>
      </c>
      <c r="H48" s="75">
        <f>('Aerodynamic Perf'!$B$21+'Aerodynamic Perf'!$B$29+'Aerodynamic Perf'!$B$2+'Aerodynamic Perf'!$B$28+'Aerodynamic Perf'!$B$5)+I48^2/(PI()*'Aerodynamic Perf'!$B$7*'Aerodynamic Perf'!$B$10)</f>
        <v>1.9192546473167534E-2</v>
      </c>
      <c r="I48" s="75">
        <f>('Aircraft W+B'!$C$61)/(0.5*'Aerodynamic Perf'!$B$24*A48^2*'Aerodynamic Perf'!$B$14)</f>
        <v>0.32372508458812399</v>
      </c>
      <c r="J48">
        <f>I48*0.5*'Aerodynamic Perf'!$B$24*A48^2*'Aerodynamic Perf'!$B$14</f>
        <v>111.68423000000001</v>
      </c>
      <c r="K48" s="76">
        <f t="shared" si="2"/>
        <v>16.867229423709528</v>
      </c>
      <c r="L48" s="76">
        <f>M48/'Systems Param+Perf'!$C$58</f>
        <v>3.3000258337536232</v>
      </c>
      <c r="M48" s="2">
        <f>('Systems Param+Perf'!$C$4*((G48)^2)+'Systems Param+Perf'!$C$5*((G48))+'Systems Param+Perf'!$C$6)</f>
        <v>73.260573509330442</v>
      </c>
    </row>
    <row r="49" spans="1:13" ht="15.75" customHeight="1" x14ac:dyDescent="0.25">
      <c r="A49" s="65">
        <f t="shared" si="3"/>
        <v>26.5</v>
      </c>
      <c r="C49" s="79">
        <f>(('Performance Calculator'!$B$37/(((2)*M49-'Systems Param+Perf'!$C$66+'Systems Param+Perf'!$C$76+'Systems Param+Perf'!$C$83+'Systems Param+Perf'!$C$86)))/60)</f>
        <v>135.20162666714856</v>
      </c>
      <c r="D49" s="74">
        <f t="shared" si="0"/>
        <v>214.97058640076622</v>
      </c>
      <c r="F49" s="2">
        <f>0.5*('Aerodynamic Perf'!$B$24*A49^2*H49*'Aerodynamic Perf'!$B$14)</f>
        <v>6.7945501871278164</v>
      </c>
      <c r="G49">
        <f t="shared" si="1"/>
        <v>0.6926146979742932</v>
      </c>
      <c r="H49" s="75">
        <f>('Aerodynamic Perf'!$B$21+'Aerodynamic Perf'!$B$29+'Aerodynamic Perf'!$B$2+'Aerodynamic Perf'!$B$28+'Aerodynamic Perf'!$B$5)+I49^2/(PI()*'Aerodynamic Perf'!$B$7*'Aerodynamic Perf'!$B$10)</f>
        <v>1.895833344937467E-2</v>
      </c>
      <c r="I49" s="75">
        <f>('Aircraft W+B'!$C$61)/(0.5*'Aerodynamic Perf'!$B$24*A49^2*'Aerodynamic Perf'!$B$14)</f>
        <v>0.31162428932940095</v>
      </c>
      <c r="J49">
        <f>I49*0.5*'Aerodynamic Perf'!$B$24*A49^2*'Aerodynamic Perf'!$B$14</f>
        <v>111.68423000000001</v>
      </c>
      <c r="K49" s="76">
        <f t="shared" si="2"/>
        <v>16.437325050830335</v>
      </c>
      <c r="L49" s="76">
        <f>M49/'Systems Param+Perf'!$C$58</f>
        <v>3.4091427513321295</v>
      </c>
      <c r="M49" s="2">
        <f>('Systems Param+Perf'!$C$4*((G49)^2)+'Systems Param+Perf'!$C$5*((G49))+'Systems Param+Perf'!$C$6)</f>
        <v>75.682969079573283</v>
      </c>
    </row>
    <row r="50" spans="1:13" ht="15.75" customHeight="1" x14ac:dyDescent="0.25">
      <c r="A50" s="65">
        <f t="shared" si="3"/>
        <v>27</v>
      </c>
      <c r="C50" s="79">
        <f>(('Performance Calculator'!$B$37/(((2)*M50-'Systems Param+Perf'!$C$66+'Systems Param+Perf'!$C$76+'Systems Param+Perf'!$C$83+'Systems Param+Perf'!$C$86)))/60)</f>
        <v>130.90007581542119</v>
      </c>
      <c r="D50" s="74">
        <f t="shared" si="0"/>
        <v>212.05812282098233</v>
      </c>
      <c r="F50" s="2">
        <f>0.5*('Aerodynamic Perf'!$B$24*A50^2*H50*'Aerodynamic Perf'!$B$14)</f>
        <v>6.9740754652573491</v>
      </c>
      <c r="G50">
        <f t="shared" si="1"/>
        <v>0.7109149301995259</v>
      </c>
      <c r="H50" s="75">
        <f>('Aerodynamic Perf'!$B$21+'Aerodynamic Perf'!$B$29+'Aerodynamic Perf'!$B$2+'Aerodynamic Perf'!$B$28+'Aerodynamic Perf'!$B$5)+I50^2/(PI()*'Aerodynamic Perf'!$B$7*'Aerodynamic Perf'!$B$10)</f>
        <v>1.8745209942631839E-2</v>
      </c>
      <c r="I50" s="75">
        <f>('Aircraft W+B'!$C$61)/(0.5*'Aerodynamic Perf'!$B$24*A50^2*'Aerodynamic Perf'!$B$14)</f>
        <v>0.30018951602410399</v>
      </c>
      <c r="J50">
        <f>I50*0.5*'Aerodynamic Perf'!$B$24*A50^2*'Aerodynamic Perf'!$B$14</f>
        <v>111.68423</v>
      </c>
      <c r="K50" s="76">
        <f t="shared" si="2"/>
        <v>16.014198664235241</v>
      </c>
      <c r="L50" s="76">
        <f>M50/'Systems Param+Perf'!$C$58</f>
        <v>3.5233180714209631</v>
      </c>
      <c r="M50" s="2">
        <f>('Systems Param+Perf'!$C$4*((G50)^2)+'Systems Param+Perf'!$C$5*((G50))+'Systems Param+Perf'!$C$6)</f>
        <v>78.217661185545396</v>
      </c>
    </row>
    <row r="51" spans="1:13" ht="15.75" customHeight="1" x14ac:dyDescent="0.25">
      <c r="A51" s="65">
        <f t="shared" si="3"/>
        <v>27.5</v>
      </c>
      <c r="C51" s="79">
        <f>(('Performance Calculator'!$B$37/(((2)*M51-'Systems Param+Perf'!$C$66+'Systems Param+Perf'!$C$76+'Systems Param+Perf'!$C$83+'Systems Param+Perf'!$C$86)))/60)</f>
        <v>126.69042302728286</v>
      </c>
      <c r="D51" s="74">
        <f t="shared" si="0"/>
        <v>209.03919799501674</v>
      </c>
      <c r="F51" s="2">
        <f>0.5*('Aerodynamic Perf'!$B$24*A51^2*H51*'Aerodynamic Perf'!$B$14)</f>
        <v>7.1597862817265074</v>
      </c>
      <c r="G51">
        <f t="shared" si="1"/>
        <v>0.72984569640433306</v>
      </c>
      <c r="H51" s="75">
        <f>('Aerodynamic Perf'!$B$21+'Aerodynamic Perf'!$B$29+'Aerodynamic Perf'!$B$2+'Aerodynamic Perf'!$B$28+'Aerodynamic Perf'!$B$5)+I51^2/(PI()*'Aerodynamic Perf'!$B$7*'Aerodynamic Perf'!$B$10)</f>
        <v>1.8550937654417628E-2</v>
      </c>
      <c r="I51" s="75">
        <f>('Aircraft W+B'!$C$61)/(0.5*'Aerodynamic Perf'!$B$24*A51^2*'Aerodynamic Perf'!$B$14)</f>
        <v>0.28937276982687182</v>
      </c>
      <c r="J51">
        <f>I51*0.5*'Aerodynamic Perf'!$B$24*A51^2*'Aerodynamic Perf'!$B$14</f>
        <v>111.68423000000001</v>
      </c>
      <c r="K51" s="76">
        <f t="shared" si="2"/>
        <v>15.598821753247714</v>
      </c>
      <c r="L51" s="76">
        <f>M51/'Systems Param+Perf'!$C$58</f>
        <v>3.6425607117176755</v>
      </c>
      <c r="M51" s="2">
        <f>('Systems Param+Perf'!$C$4*((G51)^2)+'Systems Param+Perf'!$C$5*((G51))+'Systems Param+Perf'!$C$6)</f>
        <v>80.864847800132409</v>
      </c>
    </row>
    <row r="52" spans="1:13" ht="15.75" customHeight="1" x14ac:dyDescent="0.25">
      <c r="A52" s="65">
        <f t="shared" si="3"/>
        <v>28</v>
      </c>
      <c r="C52" s="79">
        <f>(('Performance Calculator'!$B$37/(((2)*M52-'Systems Param+Perf'!$C$66+'Systems Param+Perf'!$C$76+'Systems Param+Perf'!$C$83+'Systems Param+Perf'!$C$86)))/60)</f>
        <v>122.58020750335365</v>
      </c>
      <c r="D52" s="74">
        <f t="shared" si="0"/>
        <v>205.93474860563413</v>
      </c>
      <c r="F52" s="2">
        <f>0.5*('Aerodynamic Perf'!$B$24*A52^2*H52*'Aerodynamic Perf'!$B$14)</f>
        <v>7.3515337907073253</v>
      </c>
      <c r="G52">
        <f t="shared" si="1"/>
        <v>0.74939182372143986</v>
      </c>
      <c r="H52" s="75">
        <f>('Aerodynamic Perf'!$B$21+'Aerodynamic Perf'!$B$29+'Aerodynamic Perf'!$B$2+'Aerodynamic Perf'!$B$28+'Aerodynamic Perf'!$B$5)+I52^2/(PI()*'Aerodynamic Perf'!$B$7*'Aerodynamic Perf'!$B$10)</f>
        <v>1.8373550599233079E-2</v>
      </c>
      <c r="I52" s="75">
        <f>('Aircraft W+B'!$C$61)/(0.5*'Aerodynamic Perf'!$B$24*A52^2*'Aerodynamic Perf'!$B$14)</f>
        <v>0.27913030252751508</v>
      </c>
      <c r="J52">
        <f>I52*0.5*'Aerodynamic Perf'!$B$24*A52^2*'Aerodynamic Perf'!$B$14</f>
        <v>111.68423000000001</v>
      </c>
      <c r="K52" s="76">
        <f t="shared" si="2"/>
        <v>15.191963089549285</v>
      </c>
      <c r="L52" s="76">
        <f>M52/'Systems Param+Perf'!$C$58</f>
        <v>3.7668888550412953</v>
      </c>
      <c r="M52" s="2">
        <f>('Systems Param+Perf'!$C$4*((G52)^2)+'Systems Param+Perf'!$C$5*((G52))+'Systems Param+Perf'!$C$6)</f>
        <v>83.624932581916767</v>
      </c>
    </row>
    <row r="53" spans="1:13" ht="15.75" customHeight="1" x14ac:dyDescent="0.25">
      <c r="A53" s="65">
        <f t="shared" si="3"/>
        <v>28.5</v>
      </c>
      <c r="C53" s="79">
        <f>(('Performance Calculator'!$B$37/(((2)*M53-'Systems Param+Perf'!$C$66+'Systems Param+Perf'!$C$76+'Systems Param+Perf'!$C$83+'Systems Param+Perf'!$C$86)))/60)</f>
        <v>118.57509988564601</v>
      </c>
      <c r="D53" s="74">
        <f t="shared" si="0"/>
        <v>202.76342080445468</v>
      </c>
      <c r="F53" s="2">
        <f>0.5*('Aerodynamic Perf'!$B$24*A53^2*H53*'Aerodynamic Perf'!$B$14)</f>
        <v>7.549182087440335</v>
      </c>
      <c r="G53">
        <f t="shared" si="1"/>
        <v>0.7695394584546722</v>
      </c>
      <c r="H53" s="75">
        <f>('Aerodynamic Perf'!$B$21+'Aerodynamic Perf'!$B$29+'Aerodynamic Perf'!$B$2+'Aerodynamic Perf'!$B$28+'Aerodynamic Perf'!$B$5)+I53^2/(PI()*'Aerodynamic Perf'!$B$7*'Aerodynamic Perf'!$B$10)</f>
        <v>1.8211317891496534E-2</v>
      </c>
      <c r="I53" s="75">
        <f>('Aircraft W+B'!$C$61)/(0.5*'Aerodynamic Perf'!$B$24*A53^2*'Aerodynamic Perf'!$B$14)</f>
        <v>0.26942216950639808</v>
      </c>
      <c r="J53">
        <f>I53*0.5*'Aerodynamic Perf'!$B$24*A53^2*'Aerodynamic Perf'!$B$14</f>
        <v>111.68423000000001</v>
      </c>
      <c r="K53" s="76">
        <f t="shared" si="2"/>
        <v>14.794215943712684</v>
      </c>
      <c r="L53" s="76">
        <f>M53/'Systems Param+Perf'!$C$58</f>
        <v>3.8963291011815748</v>
      </c>
      <c r="M53" s="2">
        <f>('Systems Param+Perf'!$C$4*((G53)^2)+'Systems Param+Perf'!$C$5*((G53))+'Systems Param+Perf'!$C$6)</f>
        <v>86.498506046230972</v>
      </c>
    </row>
    <row r="54" spans="1:13" ht="15.75" customHeight="1" x14ac:dyDescent="0.25">
      <c r="A54" s="65">
        <f t="shared" si="3"/>
        <v>29</v>
      </c>
      <c r="C54" s="79">
        <f>(('Performance Calculator'!$B$37/(((2)*M54-'Systems Param+Perf'!$C$66+'Systems Param+Perf'!$C$76+'Systems Param+Perf'!$C$83+'Systems Param+Perf'!$C$86)))/60)</f>
        <v>114.67917152841849</v>
      </c>
      <c r="D54" s="74">
        <f t="shared" si="0"/>
        <v>199.54175845944818</v>
      </c>
      <c r="F54" s="2">
        <f>0.5*('Aerodynamic Perf'!$B$24*A54^2*H54*'Aerodynamic Perf'!$B$14)</f>
        <v>7.7526068811841062</v>
      </c>
      <c r="G54">
        <f t="shared" si="1"/>
        <v>0.79027593080368053</v>
      </c>
      <c r="H54" s="75">
        <f>('Aerodynamic Perf'!$B$21+'Aerodynamic Perf'!$B$29+'Aerodynamic Perf'!$B$2+'Aerodynamic Perf'!$B$28+'Aerodynamic Perf'!$B$5)+I54^2/(PI()*'Aerodynamic Perf'!$B$7*'Aerodynamic Perf'!$B$10)</f>
        <v>1.8062712157010025E-2</v>
      </c>
      <c r="I54" s="75">
        <f>('Aircraft W+B'!$C$61)/(0.5*'Aerodynamic Perf'!$B$24*A54^2*'Aerodynamic Perf'!$B$14)</f>
        <v>0.26021183969271322</v>
      </c>
      <c r="J54">
        <f>I54*0.5*'Aerodynamic Perf'!$B$24*A54^2*'Aerodynamic Perf'!$B$14</f>
        <v>111.68423</v>
      </c>
      <c r="K54" s="76">
        <f t="shared" si="2"/>
        <v>14.406022607835594</v>
      </c>
      <c r="L54" s="76">
        <f>M54/'Systems Param+Perf'!$C$58</f>
        <v>4.0309157276611494</v>
      </c>
      <c r="M54" s="2">
        <f>('Systems Param+Perf'!$C$4*((G54)^2)+'Systems Param+Perf'!$C$5*((G54))+'Systems Param+Perf'!$C$6)</f>
        <v>89.486329154077524</v>
      </c>
    </row>
    <row r="55" spans="1:13" ht="15.75" customHeight="1" x14ac:dyDescent="0.25">
      <c r="A55" s="65">
        <f t="shared" si="3"/>
        <v>29.5</v>
      </c>
      <c r="C55" s="79">
        <f>(('Performance Calculator'!$B$37/(((2)*M55-'Systems Param+Perf'!$C$66+'Systems Param+Perf'!$C$76+'Systems Param+Perf'!$C$83+'Systems Param+Perf'!$C$86)))/60)</f>
        <v>110.89513411516631</v>
      </c>
      <c r="D55" s="74">
        <f t="shared" si="0"/>
        <v>196.28438738384438</v>
      </c>
      <c r="F55" s="2">
        <f>0.5*('Aerodynamic Perf'!$B$24*A55^2*H55*'Aerodynamic Perf'!$B$14)</f>
        <v>7.9616943242570581</v>
      </c>
      <c r="G55">
        <f t="shared" si="1"/>
        <v>0.81158963550020979</v>
      </c>
      <c r="H55" s="75">
        <f>('Aerodynamic Perf'!$B$21+'Aerodynamic Perf'!$B$29+'Aerodynamic Perf'!$B$2+'Aerodynamic Perf'!$B$28+'Aerodynamic Perf'!$B$5)+I55^2/(PI()*'Aerodynamic Perf'!$B$7*'Aerodynamic Perf'!$B$10)</f>
        <v>1.7926382640077763E-2</v>
      </c>
      <c r="I55" s="75">
        <f>('Aircraft W+B'!$C$61)/(0.5*'Aerodynamic Perf'!$B$24*A55^2*'Aerodynamic Perf'!$B$14)</f>
        <v>0.25146585140082944</v>
      </c>
      <c r="J55">
        <f>I55*0.5*'Aerodynamic Perf'!$B$24*A55^2*'Aerodynamic Perf'!$B$14</f>
        <v>111.68423000000001</v>
      </c>
      <c r="K55" s="76">
        <f t="shared" si="2"/>
        <v>14.02769629822755</v>
      </c>
      <c r="L55" s="76">
        <f>M55/'Systems Param+Perf'!$C$58</f>
        <v>4.1706900436726215</v>
      </c>
      <c r="M55" s="2">
        <f>('Systems Param+Perf'!$C$4*((G55)^2)+'Systems Param+Perf'!$C$5*((G55))+'Systems Param+Perf'!$C$6)</f>
        <v>92.589318969532215</v>
      </c>
    </row>
    <row r="56" spans="1:13" ht="15.75" customHeight="1" x14ac:dyDescent="0.25">
      <c r="A56" s="65">
        <f t="shared" si="3"/>
        <v>30</v>
      </c>
      <c r="C56" s="79">
        <f>(('Performance Calculator'!$B$37/(((2)*M56-'Systems Param+Perf'!$C$66+'Systems Param+Perf'!$C$76+'Systems Param+Perf'!$C$83+'Systems Param+Perf'!$C$86)))/60)</f>
        <v>107.22455126556432</v>
      </c>
      <c r="D56" s="74">
        <f t="shared" si="0"/>
        <v>193.00419227801578</v>
      </c>
      <c r="F56" s="2">
        <f>0.5*('Aerodynamic Perf'!$B$24*A56^2*H56*'Aerodynamic Perf'!$B$14)</f>
        <v>8.1763399765358713</v>
      </c>
      <c r="G56">
        <f t="shared" si="1"/>
        <v>0.83346992625238236</v>
      </c>
      <c r="H56" s="75">
        <f>('Aerodynamic Perf'!$B$21+'Aerodynamic Perf'!$B$29+'Aerodynamic Perf'!$B$2+'Aerodynamic Perf'!$B$28+'Aerodynamic Perf'!$B$5)+I56^2/(PI()*'Aerodynamic Perf'!$B$7*'Aerodynamic Perf'!$B$10)</f>
        <v>1.7801132243360749E-2</v>
      </c>
      <c r="I56" s="75">
        <f>('Aircraft W+B'!$C$61)/(0.5*'Aerodynamic Perf'!$B$24*A56^2*'Aerodynamic Perf'!$B$14)</f>
        <v>0.24315350797952426</v>
      </c>
      <c r="J56">
        <f>I56*0.5*'Aerodynamic Perf'!$B$24*A56^2*'Aerodynamic Perf'!$B$14</f>
        <v>111.68423000000001</v>
      </c>
      <c r="K56" s="76">
        <f t="shared" si="2"/>
        <v>13.659440571271118</v>
      </c>
      <c r="L56" s="76">
        <f>M56/'Systems Param+Perf'!$C$58</f>
        <v>4.315699823970176</v>
      </c>
      <c r="M56" s="2">
        <f>('Systems Param+Perf'!$C$4*((G56)^2)+'Systems Param+Perf'!$C$5*((G56))+'Systems Param+Perf'!$C$6)</f>
        <v>95.808536092137913</v>
      </c>
    </row>
    <row r="57" spans="1:13" ht="15.75" customHeight="1" x14ac:dyDescent="0.25">
      <c r="A57" s="65">
        <f t="shared" si="3"/>
        <v>30.5</v>
      </c>
      <c r="C57" s="79">
        <f>(('Performance Calculator'!$B$37/(((2)*M57-'Systems Param+Perf'!$C$66+'Systems Param+Perf'!$C$76+'Systems Param+Perf'!$C$83+'Systems Param+Perf'!$C$86)))/60)</f>
        <v>103.66802416325987</v>
      </c>
      <c r="D57" s="74">
        <f t="shared" si="0"/>
        <v>189.71248421876558</v>
      </c>
      <c r="F57" s="2">
        <f>0.5*('Aerodynamic Perf'!$B$24*A57^2*H57*'Aerodynamic Perf'!$B$14)</f>
        <v>8.3964478877938049</v>
      </c>
      <c r="G57">
        <f t="shared" si="1"/>
        <v>0.85590702220120329</v>
      </c>
      <c r="H57" s="75">
        <f>('Aerodynamic Perf'!$B$21+'Aerodynamic Perf'!$B$29+'Aerodynamic Perf'!$B$2+'Aerodynamic Perf'!$B$28+'Aerodynamic Perf'!$B$5)+I57^2/(PI()*'Aerodynamic Perf'!$B$7*'Aerodynamic Perf'!$B$10)</f>
        <v>1.7685897871711462E-2</v>
      </c>
      <c r="I57" s="75">
        <f>('Aircraft W+B'!$C$61)/(0.5*'Aerodynamic Perf'!$B$24*A57^2*'Aerodynamic Perf'!$B$14)</f>
        <v>0.23524660809628789</v>
      </c>
      <c r="J57">
        <f>I57*0.5*'Aerodynamic Perf'!$B$24*A57^2*'Aerodynamic Perf'!$B$14</f>
        <v>111.68423</v>
      </c>
      <c r="K57" s="76">
        <f t="shared" si="2"/>
        <v>13.301366422146092</v>
      </c>
      <c r="L57" s="76">
        <f>M57/'Systems Param+Perf'!$C$58</f>
        <v>4.4659988115725353</v>
      </c>
      <c r="M57" s="2">
        <f>('Systems Param+Perf'!$C$4*((G57)^2)+'Systems Param+Perf'!$C$5*((G57))+'Systems Param+Perf'!$C$6)</f>
        <v>99.145173616910299</v>
      </c>
    </row>
    <row r="58" spans="1:13" ht="15.75" customHeight="1" x14ac:dyDescent="0.25">
      <c r="A58" s="65">
        <f t="shared" si="3"/>
        <v>31</v>
      </c>
      <c r="C58" s="79">
        <f>(('Performance Calculator'!$B$37/(((2)*M58-'Systems Param+Perf'!$C$66+'Systems Param+Perf'!$C$76+'Systems Param+Perf'!$C$83+'Systems Param+Perf'!$C$86)))/60)</f>
        <v>100.22535343187351</v>
      </c>
      <c r="D58" s="74">
        <f t="shared" si="0"/>
        <v>186.41915738328473</v>
      </c>
      <c r="F58" s="2">
        <f>0.5*('Aerodynamic Perf'!$B$24*A58^2*H58*'Aerodynamic Perf'!$B$14)</f>
        <v>8.6219297827985244</v>
      </c>
      <c r="G58">
        <f t="shared" si="1"/>
        <v>0.87889192485204115</v>
      </c>
      <c r="H58" s="75">
        <f>('Aerodynamic Perf'!$B$21+'Aerodynamic Perf'!$B$29+'Aerodynamic Perf'!$B$2+'Aerodynamic Perf'!$B$28+'Aerodynamic Perf'!$B$5)+I58^2/(PI()*'Aerodynamic Perf'!$B$7*'Aerodynamic Perf'!$B$10)</f>
        <v>1.7579733560062205E-2</v>
      </c>
      <c r="I58" s="75">
        <f>('Aircraft W+B'!$C$61)/(0.5*'Aerodynamic Perf'!$B$24*A58^2*'Aerodynamic Perf'!$B$14)</f>
        <v>0.22771920622432029</v>
      </c>
      <c r="J58">
        <f>I58*0.5*'Aerodynamic Perf'!$B$24*A58^2*'Aerodynamic Perf'!$B$14</f>
        <v>111.68423</v>
      </c>
      <c r="K58" s="76">
        <f t="shared" si="2"/>
        <v>12.953507255744467</v>
      </c>
      <c r="L58" s="76">
        <f>M58/'Systems Param+Perf'!$C$58</f>
        <v>4.6216462798546809</v>
      </c>
      <c r="M58" s="2">
        <f>('Systems Param+Perf'!$C$4*((G58)^2)+'Systems Param+Perf'!$C$5*((G58))+'Systems Param+Perf'!$C$6)</f>
        <v>102.60054741277393</v>
      </c>
    </row>
    <row r="59" spans="1:13" ht="15.75" customHeight="1" x14ac:dyDescent="0.25">
      <c r="A59" s="65">
        <f t="shared" si="3"/>
        <v>31.5</v>
      </c>
      <c r="C59" s="79">
        <f>(('Performance Calculator'!$B$37/(((2)*M59-'Systems Param+Perf'!$C$66+'Systems Param+Perf'!$C$76+'Systems Param+Perf'!$C$83+'Systems Param+Perf'!$C$86)))/60)</f>
        <v>96.895679545689475</v>
      </c>
      <c r="D59" s="74">
        <f t="shared" si="0"/>
        <v>183.13283434135309</v>
      </c>
      <c r="F59" s="2">
        <f>0.5*('Aerodynamic Perf'!$B$24*A59^2*H59*'Aerodynamic Perf'!$B$14)</f>
        <v>8.8527043362259388</v>
      </c>
      <c r="G59">
        <f t="shared" si="1"/>
        <v>0.9024163441616655</v>
      </c>
      <c r="H59" s="75">
        <f>('Aerodynamic Perf'!$B$21+'Aerodynamic Perf'!$B$29+'Aerodynamic Perf'!$B$2+'Aerodynamic Perf'!$B$28+'Aerodynamic Perf'!$B$5)+I59^2/(PI()*'Aerodynamic Perf'!$B$7*'Aerodynamic Perf'!$B$10)</f>
        <v>1.7481795954040341E-2</v>
      </c>
      <c r="I59" s="75">
        <f>('Aircraft W+B'!$C$61)/(0.5*'Aerodynamic Perf'!$B$24*A59^2*'Aerodynamic Perf'!$B$14)</f>
        <v>0.22054739952791313</v>
      </c>
      <c r="J59">
        <f>I59*0.5*'Aerodynamic Perf'!$B$24*A59^2*'Aerodynamic Perf'!$B$14</f>
        <v>111.68423000000001</v>
      </c>
      <c r="K59" s="76">
        <f t="shared" si="2"/>
        <v>12.615831926406901</v>
      </c>
      <c r="L59" s="76">
        <f>M59/'Systems Param+Perf'!$C$58</f>
        <v>4.7827066460356749</v>
      </c>
      <c r="M59" s="2">
        <f>('Systems Param+Perf'!$C$4*((G59)^2)+'Systems Param+Perf'!$C$5*((G59))+'Systems Param+Perf'!$C$6)</f>
        <v>106.176087541992</v>
      </c>
    </row>
    <row r="60" spans="1:13" ht="15.75" customHeight="1" x14ac:dyDescent="0.25">
      <c r="A60" s="65">
        <f t="shared" si="3"/>
        <v>32</v>
      </c>
      <c r="C60" s="79">
        <f>(('Performance Calculator'!$B$37/(((2)*M60-'Systems Param+Perf'!$C$66+'Systems Param+Perf'!$C$76+'Systems Param+Perf'!$C$83+'Systems Param+Perf'!$C$86)))/60)</f>
        <v>93.677604025105367</v>
      </c>
      <c r="D60" s="74">
        <f t="shared" si="0"/>
        <v>179.8609997282023</v>
      </c>
      <c r="F60" s="2">
        <f>0.5*('Aerodynamic Perf'!$B$24*A60^2*H60*'Aerodynamic Perf'!$B$14)</f>
        <v>9.0886965262522317</v>
      </c>
      <c r="G60">
        <f t="shared" si="1"/>
        <v>0.9264726326454874</v>
      </c>
      <c r="H60" s="75">
        <f>('Aerodynamic Perf'!$B$21+'Aerodynamic Perf'!$B$29+'Aerodynamic Perf'!$B$2+'Aerodynamic Perf'!$B$28+'Aerodynamic Perf'!$B$5)+I60^2/(PI()*'Aerodynamic Perf'!$B$7*'Aerodynamic Perf'!$B$10)</f>
        <v>1.7391331784364899E-2</v>
      </c>
      <c r="I60" s="75">
        <f>('Aircraft W+B'!$C$61)/(0.5*'Aerodynamic Perf'!$B$24*A60^2*'Aerodynamic Perf'!$B$14)</f>
        <v>0.21370913787262874</v>
      </c>
      <c r="J60">
        <f>I60*0.5*'Aerodynamic Perf'!$B$24*A60^2*'Aerodynamic Perf'!$B$14</f>
        <v>111.68423000000001</v>
      </c>
      <c r="K60" s="76">
        <f t="shared" si="2"/>
        <v>12.288256041711358</v>
      </c>
      <c r="L60" s="76">
        <f>M60/'Systems Param+Perf'!$C$58</f>
        <v>4.9492491292624736</v>
      </c>
      <c r="M60" s="2">
        <f>('Systems Param+Perf'!$C$4*((G60)^2)+'Systems Param+Perf'!$C$5*((G60))+'Systems Param+Perf'!$C$6)</f>
        <v>109.87333066962694</v>
      </c>
    </row>
    <row r="61" spans="1:13" ht="15.75" customHeight="1" x14ac:dyDescent="0.25">
      <c r="A61" s="65">
        <f t="shared" si="3"/>
        <v>32.5</v>
      </c>
      <c r="C61" s="79">
        <f>(('Performance Calculator'!$B$37/(((2)*M61-'Systems Param+Perf'!$C$66+'Systems Param+Perf'!$C$76+'Systems Param+Perf'!$C$83+'Systems Param+Perf'!$C$86)))/60)</f>
        <v>90.569293567043232</v>
      </c>
      <c r="D61" s="74">
        <f t="shared" si="0"/>
        <v>176.61012245573431</v>
      </c>
      <c r="F61" s="2">
        <f>0.5*('Aerodynamic Perf'!$B$24*A61^2*H61*'Aerodynamic Perf'!$B$14)</f>
        <v>9.3298370572162863</v>
      </c>
      <c r="G61">
        <f t="shared" si="1"/>
        <v>0.95105372652561526</v>
      </c>
      <c r="H61" s="75">
        <f>('Aerodynamic Perf'!$B$21+'Aerodynamic Perf'!$B$29+'Aerodynamic Perf'!$B$2+'Aerodynamic Perf'!$B$28+'Aerodynamic Perf'!$B$5)+I61^2/(PI()*'Aerodynamic Perf'!$B$7*'Aerodynamic Perf'!$B$10)</f>
        <v>1.7307667035409421E-2</v>
      </c>
      <c r="I61" s="75">
        <f>('Aircraft W+B'!$C$61)/(0.5*'Aerodynamic Perf'!$B$24*A61^2*'Aerodynamic Perf'!$B$14)</f>
        <v>0.20718405413639937</v>
      </c>
      <c r="J61">
        <f>I61*0.5*'Aerodynamic Perf'!$B$24*A61^2*'Aerodynamic Perf'!$B$14</f>
        <v>111.68423000000001</v>
      </c>
      <c r="K61" s="76">
        <f t="shared" si="2"/>
        <v>11.970651718254432</v>
      </c>
      <c r="L61" s="76">
        <f>M61/'Systems Param+Perf'!$C$58</f>
        <v>5.1213474474873992</v>
      </c>
      <c r="M61" s="2">
        <f>('Systems Param+Perf'!$C$4*((G61)^2)+'Systems Param+Perf'!$C$5*((G61))+'Systems Param+Perf'!$C$6)</f>
        <v>113.69391333422027</v>
      </c>
    </row>
    <row r="62" spans="1:13" ht="15.75" customHeight="1" x14ac:dyDescent="0.25">
      <c r="A62" s="65">
        <f t="shared" si="3"/>
        <v>33</v>
      </c>
      <c r="C62" s="79">
        <f>(('Performance Calculator'!$B$37/(((2)*M62-'Systems Param+Perf'!$C$66+'Systems Param+Perf'!$C$76+'Systems Param+Perf'!$C$83+'Systems Param+Perf'!$C$86)))/60)</f>
        <v>87.568569121314752</v>
      </c>
      <c r="D62" s="74">
        <f t="shared" si="0"/>
        <v>173.3857668602032</v>
      </c>
      <c r="F62" s="2">
        <f>0.5*('Aerodynamic Perf'!$B$24*A62^2*H62*'Aerodynamic Perf'!$B$14)</f>
        <v>9.5760618430448421</v>
      </c>
      <c r="G62">
        <f t="shared" si="1"/>
        <v>0.97615309307286868</v>
      </c>
      <c r="H62" s="75">
        <f>('Aerodynamic Perf'!$B$21+'Aerodynamic Perf'!$B$29+'Aerodynamic Perf'!$B$2+'Aerodynamic Perf'!$B$28+'Aerodynamic Perf'!$B$5)+I62^2/(PI()*'Aerodynamic Perf'!$B$7*'Aerodynamic Perf'!$B$10)</f>
        <v>1.7230197557107266E-2</v>
      </c>
      <c r="I62" s="75">
        <f>('Aircraft W+B'!$C$61)/(0.5*'Aerodynamic Perf'!$B$24*A62^2*'Aerodynamic Perf'!$B$14)</f>
        <v>0.20095331237977213</v>
      </c>
      <c r="J62">
        <f>I62*0.5*'Aerodynamic Perf'!$B$24*A62^2*'Aerodynamic Perf'!$B$14</f>
        <v>111.68423000000001</v>
      </c>
      <c r="K62" s="76">
        <f t="shared" si="2"/>
        <v>11.6628559663195</v>
      </c>
      <c r="L62" s="76">
        <f>M62/'Systems Param+Perf'!$C$58</f>
        <v>5.2990795481744639</v>
      </c>
      <c r="M62" s="2">
        <f>('Systems Param+Perf'!$C$4*((G62)^2)+'Systems Param+Perf'!$C$5*((G62))+'Systems Param+Perf'!$C$6)</f>
        <v>117.63956596947311</v>
      </c>
    </row>
    <row r="63" spans="1:13" ht="15.75" customHeight="1" x14ac:dyDescent="0.25">
      <c r="A63" s="65">
        <f t="shared" si="3"/>
        <v>33.5</v>
      </c>
      <c r="C63" s="79">
        <f>(('Performance Calculator'!$B$37/(((2)*M63-'Systems Param+Perf'!$C$66+'Systems Param+Perf'!$C$76+'Systems Param+Perf'!$C$83+'Systems Param+Perf'!$C$86)))/60)</f>
        <v>84.672981763091656</v>
      </c>
      <c r="D63" s="74">
        <f t="shared" si="0"/>
        <v>170.19269334381423</v>
      </c>
      <c r="F63" s="2">
        <f>0.5*('Aerodynamic Perf'!$B$24*A63^2*H63*'Aerodynamic Perf'!$B$14)</f>
        <v>9.827311544240068</v>
      </c>
      <c r="G63">
        <f t="shared" si="1"/>
        <v>1.0017646834087734</v>
      </c>
      <c r="H63" s="75">
        <f>('Aerodynamic Perf'!$B$21+'Aerodynamic Perf'!$B$29+'Aerodynamic Perf'!$B$2+'Aerodynamic Perf'!$B$28+'Aerodynamic Perf'!$B$5)+I63^2/(PI()*'Aerodynamic Perf'!$B$7*'Aerodynamic Perf'!$B$10)</f>
        <v>1.7158380909625591E-2</v>
      </c>
      <c r="I63" s="75">
        <f>('Aircraft W+B'!$C$61)/(0.5*'Aerodynamic Perf'!$B$24*A63^2*'Aerodynamic Perf'!$B$14)</f>
        <v>0.19499947175903035</v>
      </c>
      <c r="J63">
        <f>I63*0.5*'Aerodynamic Perf'!$B$24*A63^2*'Aerodynamic Perf'!$B$14</f>
        <v>111.68423</v>
      </c>
      <c r="K63" s="76">
        <f t="shared" si="2"/>
        <v>11.364677867107998</v>
      </c>
      <c r="L63" s="76">
        <f>M63/'Systems Param+Perf'!$C$58</f>
        <v>5.4825273685748162</v>
      </c>
      <c r="M63" s="2">
        <f>('Systems Param+Perf'!$C$4*((G63)^2)+'Systems Param+Perf'!$C$5*((G63))+'Systems Param+Perf'!$C$6)</f>
        <v>121.71210758236094</v>
      </c>
    </row>
    <row r="64" spans="1:13" ht="15.75" customHeight="1" x14ac:dyDescent="0.25">
      <c r="A64" s="65">
        <f t="shared" si="3"/>
        <v>34</v>
      </c>
      <c r="C64" s="79">
        <f>(('Performance Calculator'!$B$37/(((2)*M64-'Systems Param+Perf'!$C$66+'Systems Param+Perf'!$C$76+'Systems Param+Perf'!$C$83+'Systems Param+Perf'!$C$86)))/60)</f>
        <v>81.879877041845859</v>
      </c>
      <c r="D64" s="74">
        <f t="shared" si="0"/>
        <v>167.03494916536553</v>
      </c>
      <c r="F64" s="2">
        <f>0.5*('Aerodynamic Perf'!$B$24*A64^2*H64*'Aerodynamic Perf'!$B$14)</f>
        <v>10.08353115217521</v>
      </c>
      <c r="G64">
        <f t="shared" si="1"/>
        <v>1.0278828901299908</v>
      </c>
      <c r="H64" s="75">
        <f>('Aerodynamic Perf'!$B$21+'Aerodynamic Perf'!$B$29+'Aerodynamic Perf'!$B$2+'Aerodynamic Perf'!$B$28+'Aerodynamic Perf'!$B$5)+I64^2/(PI()*'Aerodynamic Perf'!$B$7*'Aerodynamic Perf'!$B$10)</f>
        <v>1.7091729263540162E-2</v>
      </c>
      <c r="I64" s="75">
        <f>('Aircraft W+B'!$C$61)/(0.5*'Aerodynamic Perf'!$B$24*A64^2*'Aerodynamic Perf'!$B$14)</f>
        <v>0.18930636434392023</v>
      </c>
      <c r="J64">
        <f>I64*0.5*'Aerodynamic Perf'!$B$24*A64^2*'Aerodynamic Perf'!$B$14</f>
        <v>111.68423</v>
      </c>
      <c r="K64" s="76">
        <f t="shared" si="2"/>
        <v>11.075904691969695</v>
      </c>
      <c r="L64" s="76">
        <f>M64/'Systems Param+Perf'!$C$58</f>
        <v>5.6717766219070258</v>
      </c>
      <c r="M64" s="2">
        <f>('Systems Param+Perf'!$C$4*((G64)^2)+'Systems Param+Perf'!$C$5*((G64))+'Systems Param+Perf'!$C$6)</f>
        <v>125.91344100633599</v>
      </c>
    </row>
    <row r="65" spans="1:13" ht="15.75" customHeight="1" x14ac:dyDescent="0.25">
      <c r="A65" s="65">
        <f t="shared" si="3"/>
        <v>34.5</v>
      </c>
      <c r="C65" s="79">
        <f>(('Performance Calculator'!$B$37/(((2)*M65-'Systems Param+Perf'!$C$66+'Systems Param+Perf'!$C$76+'Systems Param+Perf'!$C$83+'Systems Param+Perf'!$C$86)))/60)</f>
        <v>79.1864493172137</v>
      </c>
      <c r="D65" s="74">
        <f t="shared" si="0"/>
        <v>163.91595008663236</v>
      </c>
      <c r="F65" s="2">
        <f>0.5*('Aerodynamic Perf'!$B$24*A65^2*H65*'Aerodynamic Perf'!$B$14)</f>
        <v>10.344669615253665</v>
      </c>
      <c r="G65">
        <f t="shared" si="1"/>
        <v>1.0545025092001696</v>
      </c>
      <c r="H65" s="75">
        <f>('Aerodynamic Perf'!$B$21+'Aerodynamic Perf'!$B$29+'Aerodynamic Perf'!$B$2+'Aerodynamic Perf'!$B$28+'Aerodynamic Perf'!$B$5)+I65^2/(PI()*'Aerodynamic Perf'!$B$7*'Aerodynamic Perf'!$B$10)</f>
        <v>1.7029803205883771E-2</v>
      </c>
      <c r="I65" s="75">
        <f>('Aircraft W+B'!$C$61)/(0.5*'Aerodynamic Perf'!$B$24*A65^2*'Aerodynamic Perf'!$B$14)</f>
        <v>0.18385898523971589</v>
      </c>
      <c r="J65">
        <f>I65*0.5*'Aerodynamic Perf'!$B$24*A65^2*'Aerodynamic Perf'!$B$14</f>
        <v>111.68423000000001</v>
      </c>
      <c r="K65" s="76">
        <f t="shared" si="2"/>
        <v>10.796307098615966</v>
      </c>
      <c r="L65" s="76">
        <f>M65/'Systems Param+Perf'!$C$58</f>
        <v>5.8669166062820945</v>
      </c>
      <c r="M65" s="2">
        <f>('Systems Param+Perf'!$C$4*((G65)^2)+'Systems Param+Perf'!$C$5*((G65))+'Systems Param+Perf'!$C$6)</f>
        <v>130.24554865946251</v>
      </c>
    </row>
    <row r="66" spans="1:13" ht="15.75" customHeight="1" x14ac:dyDescent="0.25">
      <c r="A66" s="65">
        <f t="shared" si="3"/>
        <v>35</v>
      </c>
      <c r="C66" s="79">
        <f>(('Performance Calculator'!$B$37/(((2)*M66-'Systems Param+Perf'!$C$66+'Systems Param+Perf'!$C$76+'Systems Param+Perf'!$C$83+'Systems Param+Perf'!$C$86)))/60)</f>
        <v>76.58978742809181</v>
      </c>
      <c r="D66" s="74">
        <f t="shared" si="0"/>
        <v>160.83855359899283</v>
      </c>
      <c r="F66" s="2">
        <f>0.5*('Aerodynamic Perf'!$B$24*A66^2*H66*'Aerodynamic Perf'!$B$14)</f>
        <v>10.61067950218172</v>
      </c>
      <c r="G66">
        <f t="shared" si="1"/>
        <v>1.0816187056250479</v>
      </c>
      <c r="H66" s="75">
        <f>('Aerodynamic Perf'!$B$21+'Aerodynamic Perf'!$B$29+'Aerodynamic Perf'!$B$2+'Aerodynamic Perf'!$B$28+'Aerodynamic Perf'!$B$5)+I66^2/(PI()*'Aerodynamic Perf'!$B$7*'Aerodynamic Perf'!$B$10)</f>
        <v>1.6972206325445868E-2</v>
      </c>
      <c r="I66" s="75">
        <f>('Aircraft W+B'!$C$61)/(0.5*'Aerodynamic Perf'!$B$24*A66^2*'Aerodynamic Perf'!$B$14)</f>
        <v>0.17864339361760967</v>
      </c>
      <c r="J66">
        <f>I66*0.5*'Aerodynamic Perf'!$B$24*A66^2*'Aerodynamic Perf'!$B$14</f>
        <v>111.68423000000004</v>
      </c>
      <c r="K66" s="76">
        <f t="shared" si="2"/>
        <v>10.525643525189505</v>
      </c>
      <c r="L66" s="76">
        <f>M66/'Systems Param+Perf'!$C$58</f>
        <v>6.0680400336412159</v>
      </c>
      <c r="M66" s="2">
        <f>('Systems Param+Perf'!$C$4*((G66)^2)+'Systems Param+Perf'!$C$5*((G66))+'Systems Param+Perf'!$C$6)</f>
        <v>134.71048874683501</v>
      </c>
    </row>
    <row r="67" spans="1:13" ht="15.75" customHeight="1" x14ac:dyDescent="0.25">
      <c r="A67" s="65">
        <f t="shared" si="3"/>
        <v>35.5</v>
      </c>
      <c r="C67" s="79">
        <f>(('Performance Calculator'!$B$37/(((2)*M67-'Systems Param+Perf'!$C$66+'Systems Param+Perf'!$C$76+'Systems Param+Perf'!$C$83+'Systems Param+Perf'!$C$86)))/60)</f>
        <v>74.086912886603812</v>
      </c>
      <c r="D67" s="74">
        <f t="shared" si="0"/>
        <v>157.8051244484661</v>
      </c>
      <c r="F67" s="2">
        <f>0.5*('Aerodynamic Perf'!$B$24*A67^2*H67*'Aerodynamic Perf'!$B$14)</f>
        <v>10.881516698203145</v>
      </c>
      <c r="G67">
        <f t="shared" si="1"/>
        <v>1.1092269824875785</v>
      </c>
      <c r="H67" s="75">
        <f>('Aerodynamic Perf'!$B$21+'Aerodynamic Perf'!$B$29+'Aerodynamic Perf'!$B$2+'Aerodynamic Perf'!$B$28+'Aerodynamic Perf'!$B$5)+I67^2/(PI()*'Aerodynamic Perf'!$B$7*'Aerodynamic Perf'!$B$10)</f>
        <v>1.6918580469901041E-2</v>
      </c>
      <c r="I67" s="75">
        <f>('Aircraft W+B'!$C$61)/(0.5*'Aerodynamic Perf'!$B$24*A67^2*'Aerodynamic Perf'!$B$14)</f>
        <v>0.173646623433106</v>
      </c>
      <c r="J67">
        <f>I67*0.5*'Aerodynamic Perf'!$B$24*A67^2*'Aerodynamic Perf'!$B$14</f>
        <v>111.68423000000001</v>
      </c>
      <c r="K67" s="76">
        <f t="shared" si="2"/>
        <v>10.263663889652657</v>
      </c>
      <c r="L67" s="76">
        <f>M67/'Systems Param+Perf'!$C$58</f>
        <v>6.2752428763389352</v>
      </c>
      <c r="M67" s="2">
        <f>('Systems Param+Perf'!$C$4*((G67)^2)+'Systems Param+Perf'!$C$5*((G67))+'Systems Param+Perf'!$C$6)</f>
        <v>139.31039185472437</v>
      </c>
    </row>
    <row r="68" spans="1:13" ht="15.75" customHeight="1" x14ac:dyDescent="0.25">
      <c r="A68" s="65">
        <f t="shared" si="3"/>
        <v>36</v>
      </c>
      <c r="C68" s="79">
        <f>(('Performance Calculator'!$B$37/(((2)*M68-'Systems Param+Perf'!$C$66+'Systems Param+Perf'!$C$76+'Systems Param+Perf'!$C$83+'Systems Param+Perf'!$C$86)))/60)</f>
        <v>71.67481164551954</v>
      </c>
      <c r="D68" s="74">
        <f t="shared" si="0"/>
        <v>154.81759315432217</v>
      </c>
      <c r="F68" s="2">
        <f>0.5*('Aerodynamic Perf'!$B$24*A68^2*H68*'Aerodynamic Perf'!$B$14)</f>
        <v>11.15714013065887</v>
      </c>
      <c r="G68">
        <f t="shared" si="1"/>
        <v>1.137323152972362</v>
      </c>
      <c r="H68" s="75">
        <f>('Aerodynamic Perf'!$B$21+'Aerodynamic Perf'!$B$29+'Aerodynamic Perf'!$B$2+'Aerodynamic Perf'!$B$28+'Aerodynamic Perf'!$B$5)+I68^2/(PI()*'Aerodynamic Perf'!$B$7*'Aerodynamic Perf'!$B$10)</f>
        <v>1.6868601583410855E-2</v>
      </c>
      <c r="I68" s="75">
        <f>('Aircraft W+B'!$C$61)/(0.5*'Aerodynamic Perf'!$B$24*A68^2*'Aerodynamic Perf'!$B$14)</f>
        <v>0.16885660276355849</v>
      </c>
      <c r="J68">
        <f>I68*0.5*'Aerodynamic Perf'!$B$24*A68^2*'Aerodynamic Perf'!$B$14</f>
        <v>111.68423</v>
      </c>
      <c r="K68" s="76">
        <f t="shared" si="2"/>
        <v>10.010112689460737</v>
      </c>
      <c r="L68" s="76">
        <f>M68/'Systems Param+Perf'!$C$58</f>
        <v>6.4886242293154277</v>
      </c>
      <c r="M68" s="2">
        <f>('Systems Param+Perf'!$C$4*((G68)^2)+'Systems Param+Perf'!$C$5*((G68))+'Systems Param+Perf'!$C$6)</f>
        <v>144.04745789080252</v>
      </c>
    </row>
    <row r="69" spans="1:13" ht="15.75" customHeight="1" x14ac:dyDescent="0.25">
      <c r="A69" s="65">
        <f t="shared" si="3"/>
        <v>36.5</v>
      </c>
      <c r="C69" s="79">
        <f>(('Performance Calculator'!$B$37/(((2)*M69-'Systems Param+Perf'!$C$66+'Systems Param+Perf'!$C$76+'Systems Param+Perf'!$C$83+'Systems Param+Perf'!$C$86)))/60)</f>
        <v>69.350460357254505</v>
      </c>
      <c r="D69" s="74">
        <f t="shared" si="0"/>
        <v>151.8775081823874</v>
      </c>
      <c r="F69" s="2">
        <f>0.5*('Aerodynamic Perf'!$B$24*A69^2*H69*'Aerodynamic Perf'!$B$14)</f>
        <v>11.437511520680534</v>
      </c>
      <c r="G69">
        <f t="shared" si="1"/>
        <v>1.165903315054081</v>
      </c>
      <c r="H69" s="75">
        <f>('Aerodynamic Perf'!$B$21+'Aerodynamic Perf'!$B$29+'Aerodynamic Perf'!$B$2+'Aerodynamic Perf'!$B$28+'Aerodynamic Perf'!$B$5)+I69^2/(PI()*'Aerodynamic Perf'!$B$7*'Aerodynamic Perf'!$B$10)</f>
        <v>1.6821976046824706E-2</v>
      </c>
      <c r="I69" s="75">
        <f>('Aircraft W+B'!$C$61)/(0.5*'Aerodynamic Perf'!$B$24*A69^2*'Aerodynamic Perf'!$B$14)</f>
        <v>0.16426208082685068</v>
      </c>
      <c r="J69">
        <f>I69*0.5*'Aerodynamic Perf'!$B$24*A69^2*'Aerodynamic Perf'!$B$14</f>
        <v>111.68423000000001</v>
      </c>
      <c r="K69" s="76">
        <f t="shared" si="2"/>
        <v>9.7647315850183105</v>
      </c>
      <c r="L69" s="76">
        <f>M69/'Systems Param+Perf'!$C$58</f>
        <v>6.708286186068106</v>
      </c>
      <c r="M69" s="2">
        <f>('Systems Param+Perf'!$C$4*((G69)^2)+'Systems Param+Perf'!$C$5*((G69))+'Systems Param+Perf'!$C$6)</f>
        <v>148.92395333071198</v>
      </c>
    </row>
    <row r="70" spans="1:13" ht="15.75" customHeight="1" x14ac:dyDescent="0.25">
      <c r="A70" s="65">
        <f t="shared" si="3"/>
        <v>37</v>
      </c>
      <c r="C70" s="79">
        <f>(('Performance Calculator'!$B$37/(((2)*M70-'Systems Param+Perf'!$C$66+'Systems Param+Perf'!$C$76+'Systems Param+Perf'!$C$83+'Systems Param+Perf'!$C$86)))/60)</f>
        <v>67.110847924951912</v>
      </c>
      <c r="D70" s="74">
        <f t="shared" si="0"/>
        <v>148.98608239339325</v>
      </c>
      <c r="F70" s="2">
        <f>0.5*('Aerodynamic Perf'!$B$24*A70^2*H70*'Aerodynamic Perf'!$B$14)</f>
        <v>11.722595158211806</v>
      </c>
      <c r="G70">
        <f t="shared" si="1"/>
        <v>1.1949638285638946</v>
      </c>
      <c r="H70" s="75">
        <f>('Aerodynamic Perf'!$B$21+'Aerodynamic Perf'!$B$29+'Aerodynamic Perf'!$B$2+'Aerodynamic Perf'!$B$28+'Aerodynamic Perf'!$B$5)+I70^2/(PI()*'Aerodynamic Perf'!$B$7*'Aerodynamic Perf'!$B$10)</f>
        <v>1.677843745394457E-2</v>
      </c>
      <c r="I70" s="75">
        <f>('Aircraft W+B'!$C$61)/(0.5*'Aerodynamic Perf'!$B$24*A70^2*'Aerodynamic Perf'!$B$14)</f>
        <v>0.15985256185651706</v>
      </c>
      <c r="J70">
        <f>I70*0.5*'Aerodynamic Perf'!$B$24*A70^2*'Aerodynamic Perf'!$B$14</f>
        <v>111.68423000000001</v>
      </c>
      <c r="K70" s="76">
        <f t="shared" si="2"/>
        <v>9.5272615400152247</v>
      </c>
      <c r="L70" s="76">
        <f>M70/'Systems Param+Perf'!$C$58</f>
        <v>6.9343337268610084</v>
      </c>
      <c r="M70" s="2">
        <f>('Systems Param+Perf'!$C$4*((G70)^2)+'Systems Param+Perf'!$C$5*((G70))+'Systems Param+Perf'!$C$6)</f>
        <v>153.9422087363144</v>
      </c>
    </row>
    <row r="71" spans="1:13" ht="15.75" customHeight="1" x14ac:dyDescent="0.25">
      <c r="A71" s="65">
        <f t="shared" si="3"/>
        <v>37.5</v>
      </c>
      <c r="C71" s="79">
        <f>(('Performance Calculator'!$B$37/(((2)*M71-'Systems Param+Perf'!$C$66+'Systems Param+Perf'!$C$76+'Systems Param+Perf'!$C$83+'Systems Param+Perf'!$C$86)))/60)</f>
        <v>64.952993041032784</v>
      </c>
      <c r="D71" s="74">
        <f t="shared" si="0"/>
        <v>146.14423434232376</v>
      </c>
      <c r="F71" s="2">
        <f>0.5*('Aerodynamic Perf'!$B$24*A71^2*H71*'Aerodynamic Perf'!$B$14)</f>
        <v>12.012357697886184</v>
      </c>
      <c r="G71">
        <f t="shared" si="1"/>
        <v>1.2245012943818741</v>
      </c>
      <c r="H71" s="75">
        <f>('Aerodynamic Perf'!$B$21+'Aerodynamic Perf'!$B$29+'Aerodynamic Perf'!$B$2+'Aerodynamic Perf'!$B$28+'Aerodynamic Perf'!$B$5)+I71^2/(PI()*'Aerodynamic Perf'!$B$7*'Aerodynamic Perf'!$B$10)</f>
        <v>1.6737743766880562E-2</v>
      </c>
      <c r="I71" s="75">
        <f>('Aircraft W+B'!$C$61)/(0.5*'Aerodynamic Perf'!$B$24*A71^2*'Aerodynamic Perf'!$B$14)</f>
        <v>0.15561824510689551</v>
      </c>
      <c r="J71">
        <f>I71*0.5*'Aerodynamic Perf'!$B$24*A71^2*'Aerodynamic Perf'!$B$14</f>
        <v>111.68423000000001</v>
      </c>
      <c r="K71" s="76">
        <f t="shared" si="2"/>
        <v>9.2974445823947693</v>
      </c>
      <c r="L71" s="76">
        <f>M71/'Systems Param+Perf'!$C$58</f>
        <v>7.1668746178071459</v>
      </c>
      <c r="M71" s="2">
        <f>('Systems Param+Perf'!$C$4*((G71)^2)+'Systems Param+Perf'!$C$5*((G71))+'Systems Param+Perf'!$C$6)</f>
        <v>159.10461651531867</v>
      </c>
    </row>
    <row r="72" spans="1:13" ht="15.75" customHeight="1" x14ac:dyDescent="0.25">
      <c r="A72" s="65">
        <f t="shared" si="3"/>
        <v>38</v>
      </c>
      <c r="C72" s="79">
        <f>(('Performance Calculator'!$B$37/(((2)*M72-'Systems Param+Perf'!$C$66+'Systems Param+Perf'!$C$76+'Systems Param+Perf'!$C$83+'Systems Param+Perf'!$C$86)))/60)</f>
        <v>62.873958315359189</v>
      </c>
      <c r="D72" s="74">
        <f t="shared" si="0"/>
        <v>143.35262495901895</v>
      </c>
      <c r="F72" s="2">
        <f>0.5*('Aerodynamic Perf'!$B$24*A72^2*H72*'Aerodynamic Perf'!$B$14)</f>
        <v>12.306767973580349</v>
      </c>
      <c r="G72">
        <f t="shared" si="1"/>
        <v>1.254512535533165</v>
      </c>
      <c r="H72" s="75">
        <f>('Aerodynamic Perf'!$B$21+'Aerodynamic Perf'!$B$29+'Aerodynamic Perf'!$B$2+'Aerodynamic Perf'!$B$28+'Aerodynamic Perf'!$B$5)+I72^2/(PI()*'Aerodynamic Perf'!$B$7*'Aerodynamic Perf'!$B$10)</f>
        <v>1.6699674801606324E-2</v>
      </c>
      <c r="I72" s="75">
        <f>('Aircraft W+B'!$C$61)/(0.5*'Aerodynamic Perf'!$B$24*A72^2*'Aerodynamic Perf'!$B$14)</f>
        <v>0.15154997034734891</v>
      </c>
      <c r="J72">
        <f>I72*0.5*'Aerodynamic Perf'!$B$24*A72^2*'Aerodynamic Perf'!$B$14</f>
        <v>111.68423000000001</v>
      </c>
      <c r="K72" s="76">
        <f t="shared" si="2"/>
        <v>9.0750252413760464</v>
      </c>
      <c r="L72" s="76">
        <f>M72/'Systems Param+Perf'!$C$58</f>
        <v>7.4060193196280837</v>
      </c>
      <c r="M72" s="2">
        <f>('Systems Param+Perf'!$C$4*((G72)^2)+'Systems Param+Perf'!$C$5*((G72))+'Systems Param+Perf'!$C$6)</f>
        <v>164.41362889574347</v>
      </c>
    </row>
    <row r="73" spans="1:13" ht="15.75" customHeight="1" x14ac:dyDescent="0.25">
      <c r="A73" s="65">
        <f t="shared" si="3"/>
        <v>38.5</v>
      </c>
      <c r="C73" s="79">
        <f>(('Performance Calculator'!$B$37/(((2)*M73-'Systems Param+Perf'!$C$66+'Systems Param+Perf'!$C$76+'Systems Param+Perf'!$C$83+'Systems Param+Perf'!$C$86)))/60)</f>
        <v>60.870861512941566</v>
      </c>
      <c r="D73" s="74">
        <f t="shared" si="0"/>
        <v>140.61169009489501</v>
      </c>
      <c r="F73" s="2">
        <f>0.5*('Aerodynamic Perf'!$B$24*A73^2*H73*'Aerodynamic Perf'!$B$14)</f>
        <v>12.605796829715633</v>
      </c>
      <c r="G73">
        <f t="shared" si="1"/>
        <v>1.2849945799913998</v>
      </c>
      <c r="H73" s="75">
        <f>('Aerodynamic Perf'!$B$21+'Aerodynamic Perf'!$B$29+'Aerodynamic Perf'!$B$2+'Aerodynamic Perf'!$B$28+'Aerodynamic Perf'!$B$5)+I73^2/(PI()*'Aerodynamic Perf'!$B$7*'Aerodynamic Perf'!$B$10)</f>
        <v>1.6664030001670563E-2</v>
      </c>
      <c r="I73" s="75">
        <f>('Aircraft W+B'!$C$61)/(0.5*'Aerodynamic Perf'!$B$24*A73^2*'Aerodynamic Perf'!$B$14)</f>
        <v>0.14763916827901624</v>
      </c>
      <c r="J73">
        <f>I73*0.5*'Aerodynamic Perf'!$B$24*A73^2*'Aerodynamic Perf'!$B$14</f>
        <v>111.68423000000001</v>
      </c>
      <c r="K73" s="76">
        <f t="shared" si="2"/>
        <v>8.8597517085732242</v>
      </c>
      <c r="L73" s="76">
        <f>M73/'Systems Param+Perf'!$C$58</f>
        <v>7.6518809050414145</v>
      </c>
      <c r="M73" s="2">
        <f>('Systems Param+Perf'!$C$4*((G73)^2)+'Systems Param+Perf'!$C$5*((G73))+'Systems Param+Perf'!$C$6)</f>
        <v>169.87175609191942</v>
      </c>
    </row>
    <row r="74" spans="1:13" ht="15.75" customHeight="1" x14ac:dyDescent="0.25">
      <c r="A74" s="65">
        <f t="shared" si="3"/>
        <v>39</v>
      </c>
      <c r="C74" s="79">
        <f>(('Performance Calculator'!$B$37/(((2)*M74-'Systems Param+Perf'!$C$66+'Systems Param+Perf'!$C$76+'Systems Param+Perf'!$C$83+'Systems Param+Perf'!$C$86)))/60)</f>
        <v>58.940884349001628</v>
      </c>
      <c r="D74" s="74">
        <f t="shared" si="0"/>
        <v>137.9216693766638</v>
      </c>
      <c r="F74" s="2">
        <f>0.5*('Aerodynamic Perf'!$B$24*A74^2*H74*'Aerodynamic Perf'!$B$14)</f>
        <v>12.909416967600919</v>
      </c>
      <c r="G74">
        <f t="shared" si="1"/>
        <v>1.315944645015384</v>
      </c>
      <c r="H74" s="75">
        <f>('Aerodynamic Perf'!$B$21+'Aerodynamic Perf'!$B$29+'Aerodynamic Perf'!$B$2+'Aerodynamic Perf'!$B$28+'Aerodynamic Perf'!$B$5)+I74^2/(PI()*'Aerodynamic Perf'!$B$7*'Aerodynamic Perf'!$B$10)</f>
        <v>1.6630626463835563E-2</v>
      </c>
      <c r="I74" s="75">
        <f>('Aircraft W+B'!$C$61)/(0.5*'Aerodynamic Perf'!$B$24*A74^2*'Aerodynamic Perf'!$B$14)</f>
        <v>0.14387781537249955</v>
      </c>
      <c r="J74">
        <f>I74*0.5*'Aerodynamic Perf'!$B$24*A74^2*'Aerodynamic Perf'!$B$14</f>
        <v>111.68423</v>
      </c>
      <c r="K74" s="76">
        <f t="shared" si="2"/>
        <v>8.6513767647521718</v>
      </c>
      <c r="L74" s="76">
        <f>M74/'Systems Param+Perf'!$C$58</f>
        <v>7.9045749838533554</v>
      </c>
      <c r="M74" s="2">
        <f>('Systems Param+Perf'!$C$4*((G74)^2)+'Systems Param+Perf'!$C$5*((G74))+'Systems Param+Perf'!$C$6)</f>
        <v>175.48156464154451</v>
      </c>
    </row>
    <row r="75" spans="1:13" ht="15.75" customHeight="1" x14ac:dyDescent="0.25">
      <c r="A75" s="65">
        <f t="shared" si="3"/>
        <v>39.5</v>
      </c>
      <c r="C75" s="79">
        <f>(('Performance Calculator'!$B$37/(((2)*M75-'Systems Param+Perf'!$C$66+'Systems Param+Perf'!$C$76+'Systems Param+Perf'!$C$83+'Systems Param+Perf'!$C$86)))/60)</f>
        <v>57.081279226203939</v>
      </c>
      <c r="D75" s="74">
        <f t="shared" si="0"/>
        <v>135.28263176610332</v>
      </c>
      <c r="F75" s="2">
        <f>0.5*('Aerodynamic Perf'!$B$24*A75^2*H75*'Aerodynamic Perf'!$B$14)</f>
        <v>13.217602805303656</v>
      </c>
      <c r="G75">
        <f t="shared" si="1"/>
        <v>1.3473601228647967</v>
      </c>
      <c r="H75" s="75">
        <f>('Aerodynamic Perf'!$B$21+'Aerodynamic Perf'!$B$29+'Aerodynamic Perf'!$B$2+'Aerodynamic Perf'!$B$28+'Aerodynamic Perf'!$B$5)+I75^2/(PI()*'Aerodynamic Perf'!$B$7*'Aerodynamic Perf'!$B$10)</f>
        <v>1.6599297184361577E-2</v>
      </c>
      <c r="I75" s="75">
        <f>('Aircraft W+B'!$C$61)/(0.5*'Aerodynamic Perf'!$B$24*A75^2*'Aerodynamic Perf'!$B$14)</f>
        <v>0.14025839268166757</v>
      </c>
      <c r="J75">
        <f>I75*0.5*'Aerodynamic Perf'!$B$24*A75^2*'Aerodynamic Perf'!$B$14</f>
        <v>111.68423</v>
      </c>
      <c r="K75" s="76">
        <f t="shared" si="2"/>
        <v>8.4496585080606241</v>
      </c>
      <c r="L75" s="76">
        <f>M75/'Systems Param+Perf'!$C$58</f>
        <v>8.1642196349435494</v>
      </c>
      <c r="M75" s="2">
        <f>('Systems Param+Perf'!$C$4*((G75)^2)+'Systems Param+Perf'!$C$5*((G75))+'Systems Param+Perf'!$C$6)</f>
        <v>181.24567589574681</v>
      </c>
    </row>
    <row r="76" spans="1:13" ht="15.75" customHeight="1" x14ac:dyDescent="0.25">
      <c r="A76" s="65">
        <f t="shared" si="3"/>
        <v>40</v>
      </c>
      <c r="C76" s="79">
        <f>(('Performance Calculator'!$B$37/(((2)*M76-'Systems Param+Perf'!$C$66+'Systems Param+Perf'!$C$76+'Systems Param+Perf'!$C$83+'Systems Param+Perf'!$C$86)))/60)</f>
        <v>55.28937424403999</v>
      </c>
      <c r="D76" s="74">
        <f t="shared" si="0"/>
        <v>132.69449818569598</v>
      </c>
      <c r="F76" s="2">
        <f>0.5*('Aerodynamic Perf'!$B$24*A76^2*H76*'Aerodynamic Perf'!$B$14)</f>
        <v>13.530330349704656</v>
      </c>
      <c r="G76">
        <f t="shared" si="1"/>
        <v>1.3792385677578649</v>
      </c>
      <c r="H76" s="75">
        <f>('Aerodynamic Perf'!$B$21+'Aerodynamic Perf'!$B$29+'Aerodynamic Perf'!$B$2+'Aerodynamic Perf'!$B$28+'Aerodynamic Perf'!$B$5)+I76^2/(PI()*'Aerodynamic Perf'!$B$7*'Aerodynamic Perf'!$B$10)</f>
        <v>1.6569889498875862E-2</v>
      </c>
      <c r="I76" s="75">
        <f>('Aircraft W+B'!$C$61)/(0.5*'Aerodynamic Perf'!$B$24*A76^2*'Aerodynamic Perf'!$B$14)</f>
        <v>0.13677384823848238</v>
      </c>
      <c r="J76">
        <f>I76*0.5*'Aerodynamic Perf'!$B$24*A76^2*'Aerodynamic Perf'!$B$14</f>
        <v>111.68423000000001</v>
      </c>
      <c r="K76" s="76">
        <f t="shared" si="2"/>
        <v>8.2543609145831311</v>
      </c>
      <c r="L76" s="76">
        <f>M76/'Systems Param+Perf'!$C$58</f>
        <v>8.4309353444245776</v>
      </c>
      <c r="M76" s="2">
        <f>('Systems Param+Perf'!$C$4*((G76)^2)+'Systems Param+Perf'!$C$5*((G76))+'Systems Param+Perf'!$C$6)</f>
        <v>187.16676464622563</v>
      </c>
    </row>
    <row r="77" spans="1:13" ht="15.75" customHeight="1" x14ac:dyDescent="0.25">
      <c r="A77" s="65">
        <f t="shared" si="3"/>
        <v>40.5</v>
      </c>
      <c r="C77" s="79">
        <f>(('Performance Calculator'!$B$37/(((2)*M77-'Systems Param+Perf'!$C$66+'Systems Param+Perf'!$C$76+'Systems Param+Perf'!$C$83+'Systems Param+Perf'!$C$86)))/60)</f>
        <v>53.562576762773922</v>
      </c>
      <c r="D77" s="74">
        <f t="shared" si="0"/>
        <v>130.15706153354063</v>
      </c>
      <c r="F77" s="2">
        <f>0.5*('Aerodynamic Perf'!$B$24*A77^2*H77*'Aerodynamic Perf'!$B$14)</f>
        <v>13.847577079540899</v>
      </c>
      <c r="G77">
        <f t="shared" si="1"/>
        <v>1.4115776839491232</v>
      </c>
      <c r="H77" s="75">
        <f>('Aerodynamic Perf'!$B$21+'Aerodynamic Perf'!$B$29+'Aerodynamic Perf'!$B$2+'Aerodynamic Perf'!$B$28+'Aerodynamic Perf'!$B$5)+I77^2/(PI()*'Aerodynamic Perf'!$B$7*'Aerodynamic Perf'!$B$10)</f>
        <v>1.654226369237172E-2</v>
      </c>
      <c r="I77" s="75">
        <f>('Aircraft W+B'!$C$61)/(0.5*'Aerodynamic Perf'!$B$24*A77^2*'Aerodynamic Perf'!$B$14)</f>
        <v>0.13341756267737956</v>
      </c>
      <c r="J77">
        <f>I77*0.5*'Aerodynamic Perf'!$B$24*A77^2*'Aerodynamic Perf'!$B$14</f>
        <v>111.68423000000001</v>
      </c>
      <c r="K77" s="76">
        <f t="shared" si="2"/>
        <v>8.0652542577291619</v>
      </c>
      <c r="L77" s="76">
        <f>M77/'Systems Param+Perf'!$C$58</f>
        <v>8.7048449493418794</v>
      </c>
      <c r="M77" s="2">
        <f>('Systems Param+Perf'!$C$4*((G77)^2)+'Systems Param+Perf'!$C$5*((G77))+'Systems Param+Perf'!$C$6)</f>
        <v>193.24755787538973</v>
      </c>
    </row>
    <row r="78" spans="1:13" ht="15.75" customHeight="1" x14ac:dyDescent="0.25">
      <c r="A78" s="65">
        <f t="shared" si="3"/>
        <v>41</v>
      </c>
      <c r="C78" s="79">
        <f>(('Performance Calculator'!$B$37/(((2)*M78-'Systems Param+Perf'!$C$66+'Systems Param+Perf'!$C$76+'Systems Param+Perf'!$C$83+'Systems Param+Perf'!$C$86)))/60)</f>
        <v>51.898375763191829</v>
      </c>
      <c r="D78" s="74">
        <f t="shared" si="0"/>
        <v>127.67000437745192</v>
      </c>
      <c r="F78" s="2">
        <f>0.5*('Aerodynamic Perf'!$B$24*A78^2*H78*'Aerodynamic Perf'!$B$14)</f>
        <v>14.169321838370996</v>
      </c>
      <c r="G78">
        <f t="shared" si="1"/>
        <v>1.444375314818654</v>
      </c>
      <c r="H78" s="75">
        <f>('Aerodynamic Perf'!$B$21+'Aerodynamic Perf'!$B$29+'Aerodynamic Perf'!$B$2+'Aerodynamic Perf'!$B$28+'Aerodynamic Perf'!$B$5)+I78^2/(PI()*'Aerodynamic Perf'!$B$7*'Aerodynamic Perf'!$B$10)</f>
        <v>1.6516291758971197E-2</v>
      </c>
      <c r="I78" s="75">
        <f>('Aircraft W+B'!$C$61)/(0.5*'Aerodynamic Perf'!$B$24*A78^2*'Aerodynamic Perf'!$B$14)</f>
        <v>0.1301833177760689</v>
      </c>
      <c r="J78">
        <f>I78*0.5*'Aerodynamic Perf'!$B$24*A78^2*'Aerodynamic Perf'!$B$14</f>
        <v>111.68423000000001</v>
      </c>
      <c r="K78" s="76">
        <f t="shared" si="2"/>
        <v>7.8821154091902548</v>
      </c>
      <c r="L78" s="76">
        <f>M78/'Systems Param+Perf'!$C$58</f>
        <v>8.9860735863523082</v>
      </c>
      <c r="M78" s="2">
        <f>('Systems Param+Perf'!$C$4*((G78)^2)+'Systems Param+Perf'!$C$5*((G78))+'Systems Param+Perf'!$C$6)</f>
        <v>199.49083361702128</v>
      </c>
    </row>
    <row r="79" spans="1:13" ht="15.75" customHeight="1" x14ac:dyDescent="0.25">
      <c r="A79" s="65">
        <f t="shared" si="3"/>
        <v>41.5</v>
      </c>
      <c r="C79" s="79">
        <f>(('Performance Calculator'!$B$37/(((2)*M79-'Systems Param+Perf'!$C$66+'Systems Param+Perf'!$C$76+'Systems Param+Perf'!$C$83+'Systems Param+Perf'!$C$86)))/60)</f>
        <v>50.294343207855043</v>
      </c>
      <c r="D79" s="74">
        <f t="shared" si="0"/>
        <v>125.23291458755907</v>
      </c>
      <c r="F79" s="2">
        <f>0.5*('Aerodynamic Perf'!$B$24*A79^2*H79*'Aerodynamic Perf'!$B$14)</f>
        <v>14.495544736512645</v>
      </c>
      <c r="G79">
        <f t="shared" si="1"/>
        <v>1.4776294328759068</v>
      </c>
      <c r="H79" s="75">
        <f>('Aerodynamic Perf'!$B$21+'Aerodynamic Perf'!$B$29+'Aerodynamic Perf'!$B$2+'Aerodynamic Perf'!$B$28+'Aerodynamic Perf'!$B$5)+I79^2/(PI()*'Aerodynamic Perf'!$B$7*'Aerodynamic Perf'!$B$10)</f>
        <v>1.6491856293735199E-2</v>
      </c>
      <c r="I79" s="75">
        <f>('Aircraft W+B'!$C$61)/(0.5*'Aerodynamic Perf'!$B$24*A79^2*'Aerodynamic Perf'!$B$14)</f>
        <v>0.1270652676333702</v>
      </c>
      <c r="J79">
        <f>I79*0.5*'Aerodynamic Perf'!$B$24*A79^2*'Aerodynamic Perf'!$B$14</f>
        <v>111.68423000000001</v>
      </c>
      <c r="K79" s="76">
        <f t="shared" si="2"/>
        <v>7.7047280409324683</v>
      </c>
      <c r="L79" s="76">
        <f>M79/'Systems Param+Perf'!$C$58</f>
        <v>9.2747486448829761</v>
      </c>
      <c r="M79" s="2">
        <f>('Systems Param+Perf'!$C$4*((G79)^2)+'Systems Param+Perf'!$C$5*((G79))+'Systems Param+Perf'!$C$6)</f>
        <v>205.89941991640208</v>
      </c>
    </row>
    <row r="80" spans="1:13" ht="15.75" customHeight="1" x14ac:dyDescent="0.25">
      <c r="A80" s="65">
        <f t="shared" si="3"/>
        <v>42</v>
      </c>
      <c r="C80" s="79">
        <f>(('Performance Calculator'!$B$37/(((2)*M80-'Systems Param+Perf'!$C$66+'Systems Param+Perf'!$C$76+'Systems Param+Perf'!$C$83+'Systems Param+Perf'!$C$86)))/60)</f>
        <v>48.748134578935087</v>
      </c>
      <c r="D80" s="74">
        <f t="shared" si="0"/>
        <v>122.84529913891642</v>
      </c>
      <c r="F80" s="2">
        <f>0.5*('Aerodynamic Perf'!$B$24*A80^2*H80*'Aerodynamic Perf'!$B$14)</f>
        <v>14.826227061102898</v>
      </c>
      <c r="G80">
        <f t="shared" si="1"/>
        <v>1.5113381305915288</v>
      </c>
      <c r="H80" s="75">
        <f>('Aerodynamic Perf'!$B$21+'Aerodynamic Perf'!$B$29+'Aerodynamic Perf'!$B$2+'Aerodynamic Perf'!$B$28+'Aerodynamic Perf'!$B$5)+I80^2/(PI()*'Aerodynamic Perf'!$B$7*'Aerodynamic Perf'!$B$10)</f>
        <v>1.6468849501083078E-2</v>
      </c>
      <c r="I80" s="75">
        <f>('Aircraft W+B'!$C$61)/(0.5*'Aerodynamic Perf'!$B$24*A80^2*'Aerodynamic Perf'!$B$14)</f>
        <v>0.12405791223445116</v>
      </c>
      <c r="J80">
        <f>I80*0.5*'Aerodynamic Perf'!$B$24*A80^2*'Aerodynamic Perf'!$B$14</f>
        <v>111.68423000000004</v>
      </c>
      <c r="K80" s="76">
        <f t="shared" si="2"/>
        <v>7.532882744862806</v>
      </c>
      <c r="L80" s="76">
        <f>M80/'Systems Param+Perf'!$C$58</f>
        <v>9.5709997243276312</v>
      </c>
      <c r="M80" s="2">
        <f>('Systems Param+Perf'!$C$4*((G80)^2)+'Systems Param+Perf'!$C$5*((G80))+'Systems Param+Perf'!$C$6)</f>
        <v>212.47619388007345</v>
      </c>
    </row>
    <row r="81" spans="1:12" ht="15.75" customHeight="1" x14ac:dyDescent="0.25">
      <c r="A81" s="65"/>
      <c r="C81" s="74"/>
      <c r="D81" s="74"/>
      <c r="H81" s="75"/>
      <c r="I81" s="75"/>
      <c r="K81" s="76"/>
      <c r="L81" s="76"/>
    </row>
    <row r="82" spans="1:12" ht="15.75" customHeight="1" x14ac:dyDescent="0.25">
      <c r="A82" s="65"/>
      <c r="C82" s="74"/>
      <c r="D82" s="74"/>
      <c r="H82" s="75"/>
      <c r="I82" s="75"/>
      <c r="K82" s="76"/>
      <c r="L82" s="76"/>
    </row>
    <row r="83" spans="1:12" ht="15.75" customHeight="1" x14ac:dyDescent="0.25">
      <c r="A83" s="65"/>
      <c r="C83" s="74"/>
      <c r="D83" s="74"/>
      <c r="H83" s="75"/>
      <c r="I83" s="75"/>
      <c r="K83" s="76"/>
      <c r="L83" s="76"/>
    </row>
    <row r="84" spans="1:12" ht="15.75" customHeight="1" x14ac:dyDescent="0.25">
      <c r="A84" s="65"/>
      <c r="C84" s="74"/>
      <c r="D84" s="74"/>
      <c r="H84" s="75"/>
      <c r="I84" s="75"/>
      <c r="K84" s="76"/>
      <c r="L84" s="76"/>
    </row>
    <row r="85" spans="1:12" ht="15.75" customHeight="1" x14ac:dyDescent="0.25">
      <c r="A85" s="65"/>
      <c r="C85" s="74"/>
      <c r="D85" s="74"/>
      <c r="H85" s="75"/>
      <c r="I85" s="75"/>
      <c r="K85" s="76"/>
      <c r="L85" s="76"/>
    </row>
    <row r="86" spans="1:12" ht="15.75" customHeight="1" x14ac:dyDescent="0.25">
      <c r="A86" s="65"/>
      <c r="C86" s="74"/>
      <c r="D86" s="74"/>
      <c r="H86" s="75"/>
      <c r="I86" s="75"/>
      <c r="K86" s="76"/>
      <c r="L86" s="76"/>
    </row>
    <row r="87" spans="1:12" ht="15.75" customHeight="1" x14ac:dyDescent="0.25">
      <c r="A87" s="65"/>
      <c r="C87" s="74"/>
      <c r="D87" s="74"/>
      <c r="H87" s="75"/>
      <c r="I87" s="75"/>
      <c r="K87" s="76"/>
      <c r="L87" s="76"/>
    </row>
    <row r="88" spans="1:12" ht="15.75" customHeight="1" x14ac:dyDescent="0.25">
      <c r="A88" s="65"/>
      <c r="C88" s="74"/>
      <c r="D88" s="74"/>
      <c r="H88" s="75"/>
      <c r="I88" s="75"/>
      <c r="K88" s="76"/>
      <c r="L88" s="76"/>
    </row>
    <row r="89" spans="1:12" ht="15.75" customHeight="1" x14ac:dyDescent="0.25">
      <c r="A89" s="65"/>
      <c r="C89" s="74"/>
      <c r="D89" s="74"/>
      <c r="H89" s="75"/>
      <c r="I89" s="75"/>
      <c r="K89" s="76"/>
      <c r="L89" s="76"/>
    </row>
    <row r="90" spans="1:12" ht="15.75" customHeight="1" x14ac:dyDescent="0.25">
      <c r="A90" s="65"/>
      <c r="C90" s="74"/>
      <c r="D90" s="74"/>
      <c r="H90" s="75"/>
      <c r="I90" s="75"/>
      <c r="K90" s="76"/>
      <c r="L90" s="76"/>
    </row>
    <row r="91" spans="1:12" ht="15.75" customHeight="1" x14ac:dyDescent="0.25">
      <c r="A91" s="65"/>
      <c r="C91" s="74"/>
      <c r="D91" s="74"/>
      <c r="H91" s="75"/>
      <c r="I91" s="75"/>
      <c r="K91" s="76"/>
      <c r="L91" s="76"/>
    </row>
    <row r="92" spans="1:12" ht="15.75" customHeight="1" x14ac:dyDescent="0.25">
      <c r="A92" s="65"/>
      <c r="C92" s="74"/>
      <c r="D92" s="74"/>
      <c r="H92" s="75"/>
      <c r="I92" s="75"/>
      <c r="K92" s="76"/>
      <c r="L92" s="76"/>
    </row>
    <row r="93" spans="1:12" ht="15.75" customHeight="1" x14ac:dyDescent="0.25">
      <c r="A93" s="65"/>
      <c r="C93" s="74"/>
      <c r="D93" s="74"/>
      <c r="H93" s="75"/>
      <c r="I93" s="75"/>
      <c r="K93" s="76"/>
      <c r="L93" s="76"/>
    </row>
    <row r="94" spans="1:12" ht="15.75" customHeight="1" x14ac:dyDescent="0.25">
      <c r="A94" s="65"/>
      <c r="C94" s="74"/>
      <c r="D94" s="74"/>
      <c r="H94" s="75"/>
      <c r="I94" s="75"/>
      <c r="K94" s="76"/>
      <c r="L94" s="76"/>
    </row>
    <row r="95" spans="1:12" ht="15.75" customHeight="1" x14ac:dyDescent="0.25">
      <c r="A95" s="65"/>
      <c r="C95" s="74"/>
      <c r="D95" s="74"/>
      <c r="H95" s="75"/>
      <c r="I95" s="75"/>
      <c r="K95" s="76"/>
      <c r="L95" s="76"/>
    </row>
    <row r="96" spans="1:12" ht="15.75" customHeight="1" x14ac:dyDescent="0.25">
      <c r="A96" s="72" t="s">
        <v>292</v>
      </c>
      <c r="C96" s="65" t="s">
        <v>302</v>
      </c>
      <c r="D96" s="74"/>
      <c r="H96" s="75"/>
      <c r="I96" s="75"/>
      <c r="K96" s="76"/>
      <c r="L96" s="76"/>
    </row>
    <row r="97" spans="1:12" ht="15.75" customHeight="1" x14ac:dyDescent="0.25">
      <c r="A97" s="77" t="e">
        <f>'[1]Irrelevant Example'!K8</f>
        <v>#REF!</v>
      </c>
      <c r="B97" s="65" t="s">
        <v>303</v>
      </c>
      <c r="C97" s="74"/>
      <c r="D97" s="74"/>
      <c r="H97" s="75"/>
      <c r="I97" s="75"/>
      <c r="K97" s="76"/>
      <c r="L97" s="76"/>
    </row>
    <row r="98" spans="1:12" ht="15.75" customHeight="1" x14ac:dyDescent="0.25">
      <c r="A98" t="e">
        <f>A2</f>
        <v>#REF!</v>
      </c>
      <c r="B98" s="65" t="s">
        <v>301</v>
      </c>
      <c r="D98" s="74"/>
      <c r="H98" s="75"/>
      <c r="I98" s="75"/>
      <c r="K98" s="76"/>
      <c r="L98" s="76"/>
    </row>
    <row r="99" spans="1:12" ht="15.75" customHeight="1" x14ac:dyDescent="0.25">
      <c r="A99" s="65">
        <f t="shared" ref="A99:A175" si="4">A4</f>
        <v>4</v>
      </c>
      <c r="C99" t="s">
        <v>359</v>
      </c>
      <c r="D99" s="74"/>
      <c r="H99" s="75"/>
      <c r="I99" s="75"/>
      <c r="K99" s="76"/>
      <c r="L99" s="76"/>
    </row>
    <row r="100" spans="1:12" ht="15.75" customHeight="1" x14ac:dyDescent="0.25">
      <c r="A100" s="65">
        <f t="shared" si="4"/>
        <v>4.5</v>
      </c>
      <c r="C100" t="s">
        <v>359</v>
      </c>
      <c r="D100" s="74"/>
      <c r="H100" s="75"/>
      <c r="I100" s="75"/>
      <c r="K100" s="76"/>
      <c r="L100" s="76"/>
    </row>
    <row r="101" spans="1:12" ht="15.75" customHeight="1" x14ac:dyDescent="0.25">
      <c r="A101" s="65">
        <f t="shared" si="4"/>
        <v>5</v>
      </c>
      <c r="C101" t="s">
        <v>359</v>
      </c>
      <c r="D101" s="74"/>
      <c r="H101" s="75"/>
      <c r="I101" s="75"/>
      <c r="K101" s="76"/>
      <c r="L101" s="76"/>
    </row>
    <row r="102" spans="1:12" ht="15.75" customHeight="1" x14ac:dyDescent="0.25">
      <c r="A102" s="65">
        <f t="shared" si="4"/>
        <v>5.5</v>
      </c>
      <c r="C102" t="s">
        <v>359</v>
      </c>
      <c r="D102" s="74"/>
      <c r="H102" s="75"/>
      <c r="I102" s="75"/>
      <c r="K102" s="76"/>
      <c r="L102" s="76"/>
    </row>
    <row r="103" spans="1:12" ht="15.75" customHeight="1" x14ac:dyDescent="0.25">
      <c r="A103" s="65">
        <f t="shared" si="4"/>
        <v>6</v>
      </c>
      <c r="C103" t="s">
        <v>359</v>
      </c>
      <c r="D103" s="74"/>
      <c r="H103" s="75"/>
      <c r="I103" s="75"/>
      <c r="K103" s="76"/>
      <c r="L103" s="76"/>
    </row>
    <row r="104" spans="1:12" ht="15.75" customHeight="1" x14ac:dyDescent="0.25">
      <c r="A104" s="65">
        <f t="shared" si="4"/>
        <v>6.5</v>
      </c>
      <c r="C104" t="s">
        <v>359</v>
      </c>
      <c r="D104" s="74"/>
      <c r="H104" s="75"/>
      <c r="I104" s="75"/>
      <c r="K104" s="76"/>
      <c r="L104" s="76"/>
    </row>
    <row r="105" spans="1:12" ht="15.75" customHeight="1" x14ac:dyDescent="0.25">
      <c r="A105" s="65">
        <f t="shared" si="4"/>
        <v>7</v>
      </c>
      <c r="C105" t="s">
        <v>359</v>
      </c>
      <c r="D105" s="74"/>
      <c r="H105" s="75"/>
      <c r="I105" s="75"/>
      <c r="K105" s="76"/>
      <c r="L105" s="76"/>
    </row>
    <row r="106" spans="1:12" ht="15.75" customHeight="1" x14ac:dyDescent="0.25">
      <c r="A106" s="65">
        <f t="shared" si="4"/>
        <v>7.5</v>
      </c>
      <c r="C106" t="s">
        <v>359</v>
      </c>
      <c r="D106" s="74"/>
      <c r="H106" s="75"/>
      <c r="I106" s="75"/>
      <c r="K106" s="76"/>
      <c r="L106" s="76"/>
    </row>
    <row r="107" spans="1:12" ht="15.75" customHeight="1" x14ac:dyDescent="0.25">
      <c r="A107" s="65">
        <f t="shared" si="4"/>
        <v>8</v>
      </c>
      <c r="C107" t="s">
        <v>359</v>
      </c>
      <c r="D107" s="74"/>
      <c r="H107" s="75"/>
      <c r="I107" s="75"/>
      <c r="K107" s="76"/>
      <c r="L107" s="76"/>
    </row>
    <row r="108" spans="1:12" ht="15.75" customHeight="1" x14ac:dyDescent="0.25">
      <c r="A108" s="65">
        <f t="shared" si="4"/>
        <v>8.5</v>
      </c>
      <c r="C108" t="s">
        <v>359</v>
      </c>
      <c r="D108" s="74"/>
      <c r="H108" s="75"/>
      <c r="I108" s="75"/>
      <c r="K108" s="76"/>
      <c r="L108" s="76"/>
    </row>
    <row r="109" spans="1:12" ht="15.75" customHeight="1" x14ac:dyDescent="0.25">
      <c r="A109" s="65">
        <f t="shared" si="4"/>
        <v>9</v>
      </c>
      <c r="C109" t="s">
        <v>359</v>
      </c>
      <c r="D109" s="74"/>
      <c r="H109" s="75"/>
      <c r="I109" s="75"/>
      <c r="K109" s="76"/>
      <c r="L109" s="76"/>
    </row>
    <row r="110" spans="1:12" ht="15.75" customHeight="1" x14ac:dyDescent="0.25">
      <c r="A110" s="65">
        <f t="shared" si="4"/>
        <v>9.5</v>
      </c>
      <c r="C110" t="s">
        <v>359</v>
      </c>
      <c r="D110" s="74"/>
      <c r="H110" s="75"/>
      <c r="I110" s="75"/>
      <c r="K110" s="76"/>
      <c r="L110" s="76"/>
    </row>
    <row r="111" spans="1:12" ht="15.75" customHeight="1" x14ac:dyDescent="0.25">
      <c r="A111" s="65">
        <f t="shared" si="4"/>
        <v>10</v>
      </c>
      <c r="C111" t="s">
        <v>359</v>
      </c>
      <c r="D111" s="74"/>
      <c r="H111" s="75"/>
      <c r="I111" s="75"/>
      <c r="K111" s="76"/>
      <c r="L111" s="76"/>
    </row>
    <row r="112" spans="1:12" ht="15.75" customHeight="1" x14ac:dyDescent="0.25">
      <c r="A112" s="65">
        <f t="shared" si="4"/>
        <v>10.5</v>
      </c>
      <c r="C112" t="s">
        <v>359</v>
      </c>
      <c r="D112" s="74"/>
      <c r="H112" s="75"/>
      <c r="I112" s="75"/>
      <c r="K112" s="76"/>
      <c r="L112" s="76"/>
    </row>
    <row r="113" spans="1:12" ht="15.75" customHeight="1" x14ac:dyDescent="0.25">
      <c r="A113" s="65">
        <f t="shared" si="4"/>
        <v>11</v>
      </c>
      <c r="C113" t="s">
        <v>359</v>
      </c>
      <c r="D113" s="74"/>
      <c r="H113" s="75"/>
      <c r="I113" s="75"/>
      <c r="K113" s="76"/>
      <c r="L113" s="76"/>
    </row>
    <row r="114" spans="1:12" ht="15.75" customHeight="1" x14ac:dyDescent="0.25">
      <c r="A114" s="65">
        <f t="shared" si="4"/>
        <v>11.5</v>
      </c>
      <c r="C114" t="s">
        <v>359</v>
      </c>
      <c r="D114" s="74"/>
      <c r="H114" s="75"/>
      <c r="I114" s="75"/>
      <c r="K114" s="76"/>
      <c r="L114" s="76"/>
    </row>
    <row r="115" spans="1:12" ht="15.75" customHeight="1" x14ac:dyDescent="0.25">
      <c r="A115" s="65">
        <f t="shared" si="4"/>
        <v>12</v>
      </c>
      <c r="C115" t="s">
        <v>359</v>
      </c>
      <c r="D115" s="74"/>
      <c r="H115" s="75"/>
      <c r="I115" s="75"/>
      <c r="K115" s="76"/>
      <c r="L115" s="76"/>
    </row>
    <row r="116" spans="1:12" ht="15.75" customHeight="1" x14ac:dyDescent="0.25">
      <c r="A116" s="65">
        <f t="shared" si="4"/>
        <v>12.5</v>
      </c>
      <c r="C116" t="s">
        <v>359</v>
      </c>
      <c r="D116" s="74"/>
      <c r="H116" s="75"/>
      <c r="I116" s="75"/>
      <c r="K116" s="76"/>
      <c r="L116" s="76"/>
    </row>
    <row r="117" spans="1:12" ht="15.75" customHeight="1" x14ac:dyDescent="0.25">
      <c r="A117" s="65">
        <f t="shared" si="4"/>
        <v>13</v>
      </c>
      <c r="C117" t="s">
        <v>359</v>
      </c>
      <c r="D117" s="74"/>
      <c r="H117" s="75"/>
      <c r="I117" s="75"/>
      <c r="K117" s="76"/>
      <c r="L117" s="76"/>
    </row>
    <row r="118" spans="1:12" ht="15.75" customHeight="1" x14ac:dyDescent="0.25">
      <c r="A118" s="65">
        <f t="shared" si="4"/>
        <v>13.5</v>
      </c>
      <c r="C118" t="s">
        <v>359</v>
      </c>
      <c r="D118" s="74"/>
      <c r="H118" s="75"/>
      <c r="I118" s="75"/>
      <c r="K118" s="76"/>
      <c r="L118" s="76"/>
    </row>
    <row r="119" spans="1:12" ht="15.75" customHeight="1" x14ac:dyDescent="0.25">
      <c r="A119" s="65">
        <f t="shared" si="4"/>
        <v>14</v>
      </c>
      <c r="C119" t="s">
        <v>359</v>
      </c>
      <c r="D119" s="74"/>
      <c r="H119" s="75"/>
      <c r="I119" s="75"/>
      <c r="K119" s="76"/>
      <c r="L119" s="76"/>
    </row>
    <row r="120" spans="1:12" ht="15.75" customHeight="1" x14ac:dyDescent="0.25">
      <c r="A120" s="65">
        <f t="shared" si="4"/>
        <v>14.5</v>
      </c>
      <c r="C120" t="s">
        <v>359</v>
      </c>
      <c r="D120" s="74"/>
      <c r="H120" s="75"/>
      <c r="I120" s="75"/>
      <c r="K120" s="76"/>
      <c r="L120" s="76"/>
    </row>
    <row r="121" spans="1:12" ht="15.75" customHeight="1" x14ac:dyDescent="0.25">
      <c r="A121" s="65">
        <f t="shared" si="4"/>
        <v>15</v>
      </c>
      <c r="C121" t="s">
        <v>359</v>
      </c>
      <c r="D121" s="74"/>
      <c r="H121" s="75"/>
      <c r="I121" s="75"/>
      <c r="K121" s="76"/>
      <c r="L121" s="76"/>
    </row>
    <row r="122" spans="1:12" ht="15.75" customHeight="1" x14ac:dyDescent="0.25">
      <c r="A122" s="65">
        <f t="shared" si="4"/>
        <v>15.5</v>
      </c>
      <c r="C122" t="s">
        <v>359</v>
      </c>
      <c r="D122" s="74"/>
      <c r="H122" s="75"/>
      <c r="I122" s="75"/>
      <c r="K122" s="76"/>
      <c r="L122" s="76"/>
    </row>
    <row r="123" spans="1:12" ht="15.75" customHeight="1" x14ac:dyDescent="0.25">
      <c r="A123" s="65">
        <f t="shared" si="4"/>
        <v>16</v>
      </c>
      <c r="C123" t="s">
        <v>359</v>
      </c>
      <c r="D123" s="74"/>
      <c r="H123" s="75"/>
      <c r="I123" s="75"/>
      <c r="K123" s="76"/>
      <c r="L123" s="76"/>
    </row>
    <row r="124" spans="1:12" ht="15.75" customHeight="1" x14ac:dyDescent="0.25">
      <c r="A124" s="65">
        <f t="shared" si="4"/>
        <v>16.5</v>
      </c>
      <c r="C124" t="s">
        <v>359</v>
      </c>
      <c r="D124" s="74"/>
      <c r="H124" s="75"/>
      <c r="I124" s="75"/>
      <c r="K124" s="76"/>
      <c r="L124" s="76"/>
    </row>
    <row r="125" spans="1:12" ht="15.75" customHeight="1" x14ac:dyDescent="0.25">
      <c r="A125" s="65">
        <f t="shared" si="4"/>
        <v>17</v>
      </c>
      <c r="C125" t="s">
        <v>359</v>
      </c>
      <c r="D125" s="74"/>
      <c r="H125" s="75"/>
      <c r="I125" s="75"/>
      <c r="K125" s="76"/>
      <c r="L125" s="76"/>
    </row>
    <row r="126" spans="1:12" ht="15.75" customHeight="1" x14ac:dyDescent="0.25">
      <c r="A126" s="65">
        <f t="shared" si="4"/>
        <v>17.5</v>
      </c>
      <c r="C126" t="s">
        <v>359</v>
      </c>
      <c r="D126" s="74"/>
      <c r="H126" s="75"/>
      <c r="I126" s="75"/>
      <c r="K126" s="76"/>
      <c r="L126" s="76"/>
    </row>
    <row r="127" spans="1:12" ht="15.75" customHeight="1" x14ac:dyDescent="0.25">
      <c r="A127" s="65">
        <f t="shared" si="4"/>
        <v>18</v>
      </c>
      <c r="C127" t="s">
        <v>359</v>
      </c>
      <c r="D127" s="74"/>
      <c r="H127" s="75"/>
      <c r="I127" s="75"/>
      <c r="K127" s="76"/>
      <c r="L127" s="76"/>
    </row>
    <row r="128" spans="1:12" ht="15.75" customHeight="1" x14ac:dyDescent="0.25">
      <c r="A128" s="65">
        <f t="shared" si="4"/>
        <v>18.5</v>
      </c>
      <c r="C128" t="s">
        <v>359</v>
      </c>
      <c r="D128" s="74"/>
      <c r="H128" s="75"/>
      <c r="I128" s="75"/>
      <c r="K128" s="76"/>
      <c r="L128" s="76"/>
    </row>
    <row r="129" spans="1:12" ht="15.75" customHeight="1" x14ac:dyDescent="0.25">
      <c r="A129" s="65">
        <f t="shared" si="4"/>
        <v>19</v>
      </c>
      <c r="C129" t="s">
        <v>359</v>
      </c>
      <c r="D129" s="74"/>
      <c r="H129" s="75"/>
      <c r="I129" s="75"/>
      <c r="K129" s="76"/>
      <c r="L129" s="76"/>
    </row>
    <row r="130" spans="1:12" ht="15.75" customHeight="1" x14ac:dyDescent="0.25">
      <c r="A130" s="65">
        <f t="shared" si="4"/>
        <v>19.5</v>
      </c>
      <c r="C130" t="s">
        <v>359</v>
      </c>
      <c r="D130" s="74"/>
      <c r="H130" s="75"/>
      <c r="I130" s="75"/>
      <c r="K130" s="76"/>
      <c r="L130" s="76"/>
    </row>
    <row r="131" spans="1:12" ht="15.75" customHeight="1" x14ac:dyDescent="0.25">
      <c r="A131" s="65">
        <f t="shared" si="4"/>
        <v>20</v>
      </c>
      <c r="C131" t="s">
        <v>359</v>
      </c>
      <c r="D131" s="74"/>
      <c r="H131" s="75"/>
      <c r="I131" s="75"/>
      <c r="K131" s="76"/>
      <c r="L131" s="76"/>
    </row>
    <row r="132" spans="1:12" ht="15.75" customHeight="1" x14ac:dyDescent="0.25">
      <c r="A132" s="65">
        <f t="shared" si="4"/>
        <v>20.5</v>
      </c>
      <c r="C132" t="s">
        <v>359</v>
      </c>
      <c r="D132" s="74"/>
      <c r="H132" s="75"/>
      <c r="I132" s="75"/>
      <c r="K132" s="76"/>
      <c r="L132" s="76"/>
    </row>
    <row r="133" spans="1:12" ht="15.75" customHeight="1" x14ac:dyDescent="0.25">
      <c r="A133" s="65">
        <f t="shared" si="4"/>
        <v>21</v>
      </c>
      <c r="C133" t="s">
        <v>359</v>
      </c>
      <c r="D133" s="74"/>
      <c r="H133" s="75"/>
      <c r="I133" s="75"/>
      <c r="K133" s="76"/>
      <c r="L133" s="76"/>
    </row>
    <row r="134" spans="1:12" ht="15.75" customHeight="1" x14ac:dyDescent="0.25">
      <c r="A134" s="65">
        <f t="shared" si="4"/>
        <v>21.5</v>
      </c>
      <c r="C134" t="s">
        <v>359</v>
      </c>
      <c r="D134" s="74"/>
      <c r="H134" s="75"/>
      <c r="I134" s="75"/>
      <c r="K134" s="76"/>
      <c r="L134" s="76"/>
    </row>
    <row r="135" spans="1:12" ht="15.75" customHeight="1" x14ac:dyDescent="0.25">
      <c r="A135" s="65">
        <f t="shared" si="4"/>
        <v>22</v>
      </c>
      <c r="C135" t="s">
        <v>359</v>
      </c>
      <c r="D135" s="74"/>
      <c r="H135" s="75"/>
      <c r="I135" s="75"/>
      <c r="K135" s="76"/>
      <c r="L135" s="76"/>
    </row>
    <row r="136" spans="1:12" ht="15.75" customHeight="1" x14ac:dyDescent="0.25">
      <c r="A136" s="65">
        <f t="shared" si="4"/>
        <v>22.5</v>
      </c>
      <c r="C136" t="s">
        <v>359</v>
      </c>
      <c r="D136" s="74"/>
      <c r="H136" s="75"/>
      <c r="I136" s="75"/>
      <c r="K136" s="76"/>
      <c r="L136" s="76"/>
    </row>
    <row r="137" spans="1:12" ht="15.75" customHeight="1" x14ac:dyDescent="0.25">
      <c r="A137" s="65">
        <f t="shared" si="4"/>
        <v>23</v>
      </c>
      <c r="C137" t="s">
        <v>359</v>
      </c>
      <c r="D137" s="74"/>
      <c r="H137" s="75"/>
      <c r="I137" s="75"/>
      <c r="K137" s="76"/>
      <c r="L137" s="76"/>
    </row>
    <row r="138" spans="1:12" ht="15.75" customHeight="1" x14ac:dyDescent="0.25">
      <c r="A138" s="65">
        <f t="shared" si="4"/>
        <v>23.5</v>
      </c>
      <c r="C138" t="s">
        <v>359</v>
      </c>
      <c r="D138" s="74"/>
      <c r="H138" s="75"/>
      <c r="I138" s="75"/>
      <c r="K138" s="76"/>
      <c r="L138" s="76"/>
    </row>
    <row r="139" spans="1:12" ht="15.75" customHeight="1" x14ac:dyDescent="0.25">
      <c r="A139" s="65">
        <f t="shared" si="4"/>
        <v>24</v>
      </c>
      <c r="C139" t="s">
        <v>359</v>
      </c>
      <c r="D139" s="74"/>
      <c r="H139" s="75"/>
      <c r="I139" s="75"/>
      <c r="K139" s="76"/>
      <c r="L139" s="76"/>
    </row>
    <row r="140" spans="1:12" ht="15.75" customHeight="1" x14ac:dyDescent="0.25">
      <c r="A140" s="65">
        <f t="shared" si="4"/>
        <v>24.5</v>
      </c>
      <c r="C140" t="s">
        <v>359</v>
      </c>
      <c r="D140" s="74"/>
      <c r="H140" s="75"/>
      <c r="I140" s="75"/>
      <c r="K140" s="76"/>
      <c r="L140" s="76"/>
    </row>
    <row r="141" spans="1:12" ht="15.75" customHeight="1" x14ac:dyDescent="0.25">
      <c r="A141" s="65">
        <f t="shared" si="4"/>
        <v>25</v>
      </c>
      <c r="C141" t="s">
        <v>359</v>
      </c>
      <c r="D141" s="74"/>
      <c r="H141" s="75"/>
      <c r="I141" s="75"/>
      <c r="K141" s="76"/>
      <c r="L141" s="76"/>
    </row>
    <row r="142" spans="1:12" ht="15.75" customHeight="1" x14ac:dyDescent="0.25">
      <c r="A142" s="65">
        <f t="shared" si="4"/>
        <v>25.5</v>
      </c>
      <c r="C142" t="s">
        <v>359</v>
      </c>
      <c r="D142" s="74"/>
      <c r="H142" s="75"/>
      <c r="I142" s="75"/>
      <c r="K142" s="76"/>
      <c r="L142" s="76"/>
    </row>
    <row r="143" spans="1:12" ht="15.75" customHeight="1" x14ac:dyDescent="0.25">
      <c r="A143" s="65">
        <f t="shared" si="4"/>
        <v>26</v>
      </c>
      <c r="C143" t="s">
        <v>359</v>
      </c>
      <c r="D143" s="74"/>
      <c r="H143" s="75"/>
      <c r="I143" s="75"/>
      <c r="K143" s="76"/>
      <c r="L143" s="76"/>
    </row>
    <row r="144" spans="1:12" ht="15.75" customHeight="1" x14ac:dyDescent="0.25">
      <c r="A144" s="65">
        <f t="shared" si="4"/>
        <v>26.5</v>
      </c>
      <c r="C144" t="s">
        <v>359</v>
      </c>
      <c r="D144" s="74"/>
      <c r="H144" s="75"/>
      <c r="I144" s="75"/>
      <c r="K144" s="76"/>
      <c r="L144" s="76"/>
    </row>
    <row r="145" spans="1:12" ht="15.75" customHeight="1" x14ac:dyDescent="0.25">
      <c r="A145" s="65">
        <f t="shared" si="4"/>
        <v>27</v>
      </c>
      <c r="C145" t="s">
        <v>359</v>
      </c>
      <c r="D145" s="74"/>
      <c r="H145" s="75"/>
      <c r="I145" s="75"/>
      <c r="K145" s="76"/>
      <c r="L145" s="76"/>
    </row>
    <row r="146" spans="1:12" ht="15.75" customHeight="1" x14ac:dyDescent="0.25">
      <c r="A146" s="65">
        <f t="shared" si="4"/>
        <v>27.5</v>
      </c>
      <c r="C146" t="s">
        <v>359</v>
      </c>
      <c r="D146" s="81"/>
    </row>
    <row r="147" spans="1:12" ht="15.75" customHeight="1" x14ac:dyDescent="0.25">
      <c r="A147" s="65">
        <f t="shared" si="4"/>
        <v>28</v>
      </c>
      <c r="C147" t="s">
        <v>359</v>
      </c>
      <c r="D147" s="81"/>
    </row>
    <row r="148" spans="1:12" ht="15.75" customHeight="1" x14ac:dyDescent="0.25">
      <c r="A148" s="65">
        <f t="shared" si="4"/>
        <v>28.5</v>
      </c>
      <c r="C148" t="s">
        <v>359</v>
      </c>
      <c r="D148" s="81"/>
    </row>
    <row r="149" spans="1:12" ht="15.75" customHeight="1" x14ac:dyDescent="0.25">
      <c r="A149" s="65">
        <f t="shared" si="4"/>
        <v>29</v>
      </c>
      <c r="C149" t="s">
        <v>359</v>
      </c>
      <c r="D149" s="81"/>
    </row>
    <row r="150" spans="1:12" ht="15.75" customHeight="1" x14ac:dyDescent="0.25">
      <c r="A150" s="65">
        <f t="shared" si="4"/>
        <v>29.5</v>
      </c>
      <c r="C150" t="s">
        <v>359</v>
      </c>
      <c r="D150" s="81"/>
    </row>
    <row r="151" spans="1:12" ht="15.75" customHeight="1" x14ac:dyDescent="0.25">
      <c r="A151" s="65">
        <f t="shared" si="4"/>
        <v>30</v>
      </c>
      <c r="C151" t="s">
        <v>359</v>
      </c>
      <c r="D151" s="81"/>
    </row>
    <row r="152" spans="1:12" ht="15.75" customHeight="1" x14ac:dyDescent="0.25">
      <c r="A152" s="65">
        <f t="shared" si="4"/>
        <v>30.5</v>
      </c>
      <c r="C152" t="s">
        <v>359</v>
      </c>
      <c r="D152" s="81"/>
    </row>
    <row r="153" spans="1:12" ht="15.75" customHeight="1" x14ac:dyDescent="0.25">
      <c r="A153" s="65">
        <f t="shared" si="4"/>
        <v>31</v>
      </c>
      <c r="C153" t="s">
        <v>359</v>
      </c>
      <c r="D153" s="81"/>
    </row>
    <row r="154" spans="1:12" ht="15.75" customHeight="1" x14ac:dyDescent="0.25">
      <c r="A154" s="65">
        <f t="shared" si="4"/>
        <v>31.5</v>
      </c>
      <c r="C154" t="s">
        <v>359</v>
      </c>
      <c r="D154" s="81"/>
    </row>
    <row r="155" spans="1:12" ht="15.75" customHeight="1" x14ac:dyDescent="0.25">
      <c r="A155" s="65">
        <f t="shared" si="4"/>
        <v>32</v>
      </c>
      <c r="C155" t="s">
        <v>359</v>
      </c>
      <c r="D155" s="81"/>
    </row>
    <row r="156" spans="1:12" ht="15.75" customHeight="1" x14ac:dyDescent="0.25">
      <c r="A156" s="65">
        <f t="shared" si="4"/>
        <v>32.5</v>
      </c>
      <c r="C156" t="s">
        <v>359</v>
      </c>
      <c r="D156" s="81"/>
    </row>
    <row r="157" spans="1:12" ht="15.75" customHeight="1" x14ac:dyDescent="0.25">
      <c r="A157" s="65">
        <f t="shared" si="4"/>
        <v>33</v>
      </c>
      <c r="C157" t="s">
        <v>359</v>
      </c>
      <c r="D157" s="81"/>
    </row>
    <row r="158" spans="1:12" ht="15.75" customHeight="1" x14ac:dyDescent="0.25">
      <c r="A158" s="65">
        <f t="shared" si="4"/>
        <v>33.5</v>
      </c>
      <c r="C158" t="s">
        <v>359</v>
      </c>
      <c r="D158" s="81"/>
    </row>
    <row r="159" spans="1:12" ht="15.75" customHeight="1" x14ac:dyDescent="0.25">
      <c r="A159" s="65">
        <f t="shared" si="4"/>
        <v>34</v>
      </c>
      <c r="C159" t="s">
        <v>359</v>
      </c>
      <c r="D159" s="81"/>
    </row>
    <row r="160" spans="1:12" ht="15.75" customHeight="1" x14ac:dyDescent="0.25">
      <c r="A160" s="65">
        <f t="shared" si="4"/>
        <v>34.5</v>
      </c>
      <c r="C160" t="s">
        <v>359</v>
      </c>
      <c r="D160" s="81"/>
    </row>
    <row r="161" spans="1:4" ht="15.75" customHeight="1" x14ac:dyDescent="0.25">
      <c r="A161" s="65">
        <f t="shared" si="4"/>
        <v>35</v>
      </c>
      <c r="C161" t="s">
        <v>359</v>
      </c>
      <c r="D161" s="81"/>
    </row>
    <row r="162" spans="1:4" ht="15.75" customHeight="1" x14ac:dyDescent="0.25">
      <c r="A162" s="65">
        <f t="shared" si="4"/>
        <v>35.5</v>
      </c>
      <c r="C162" t="s">
        <v>359</v>
      </c>
      <c r="D162" s="81"/>
    </row>
    <row r="163" spans="1:4" ht="15.75" customHeight="1" x14ac:dyDescent="0.25">
      <c r="A163" s="65">
        <f t="shared" si="4"/>
        <v>36</v>
      </c>
      <c r="C163" t="s">
        <v>359</v>
      </c>
      <c r="D163" s="81"/>
    </row>
    <row r="164" spans="1:4" ht="15.75" customHeight="1" x14ac:dyDescent="0.25">
      <c r="A164" s="65">
        <f t="shared" si="4"/>
        <v>36.5</v>
      </c>
      <c r="C164" t="s">
        <v>359</v>
      </c>
      <c r="D164" s="81"/>
    </row>
    <row r="165" spans="1:4" ht="15.75" customHeight="1" x14ac:dyDescent="0.25">
      <c r="A165" s="65">
        <f t="shared" si="4"/>
        <v>37</v>
      </c>
      <c r="C165" t="s">
        <v>359</v>
      </c>
      <c r="D165" s="81"/>
    </row>
    <row r="166" spans="1:4" ht="15.75" customHeight="1" x14ac:dyDescent="0.25">
      <c r="A166" s="65">
        <f t="shared" si="4"/>
        <v>37.5</v>
      </c>
      <c r="C166" t="s">
        <v>359</v>
      </c>
      <c r="D166" s="81"/>
    </row>
    <row r="167" spans="1:4" ht="15.75" customHeight="1" x14ac:dyDescent="0.25">
      <c r="A167" s="65">
        <f t="shared" si="4"/>
        <v>38</v>
      </c>
      <c r="C167" t="s">
        <v>359</v>
      </c>
      <c r="D167" s="81"/>
    </row>
    <row r="168" spans="1:4" ht="15.75" customHeight="1" x14ac:dyDescent="0.25">
      <c r="A168" s="65">
        <f t="shared" si="4"/>
        <v>38.5</v>
      </c>
      <c r="C168" t="s">
        <v>359</v>
      </c>
      <c r="D168" s="81"/>
    </row>
    <row r="169" spans="1:4" ht="15.75" customHeight="1" x14ac:dyDescent="0.25">
      <c r="A169" s="65">
        <f t="shared" si="4"/>
        <v>39</v>
      </c>
      <c r="C169" t="s">
        <v>359</v>
      </c>
      <c r="D169" s="81"/>
    </row>
    <row r="170" spans="1:4" ht="15.75" customHeight="1" x14ac:dyDescent="0.25">
      <c r="A170" s="65">
        <f t="shared" si="4"/>
        <v>39.5</v>
      </c>
      <c r="C170" t="s">
        <v>359</v>
      </c>
      <c r="D170" s="81"/>
    </row>
    <row r="171" spans="1:4" ht="15.75" customHeight="1" x14ac:dyDescent="0.25">
      <c r="A171" s="65">
        <f t="shared" si="4"/>
        <v>40</v>
      </c>
      <c r="C171" t="s">
        <v>359</v>
      </c>
      <c r="D171" s="81"/>
    </row>
    <row r="172" spans="1:4" ht="15.75" customHeight="1" x14ac:dyDescent="0.25">
      <c r="A172" s="65">
        <f t="shared" si="4"/>
        <v>40.5</v>
      </c>
      <c r="C172" t="s">
        <v>359</v>
      </c>
      <c r="D172" s="81"/>
    </row>
    <row r="173" spans="1:4" ht="15.75" customHeight="1" x14ac:dyDescent="0.25">
      <c r="A173" s="65">
        <f t="shared" si="4"/>
        <v>41</v>
      </c>
      <c r="C173" t="s">
        <v>359</v>
      </c>
      <c r="D173" s="81"/>
    </row>
    <row r="174" spans="1:4" ht="15.75" customHeight="1" x14ac:dyDescent="0.25">
      <c r="A174" s="65">
        <f t="shared" si="4"/>
        <v>41.5</v>
      </c>
      <c r="C174" t="s">
        <v>359</v>
      </c>
      <c r="D174" s="81"/>
    </row>
    <row r="175" spans="1:4" ht="15.75" customHeight="1" x14ac:dyDescent="0.25">
      <c r="A175" s="65">
        <f t="shared" si="4"/>
        <v>42</v>
      </c>
      <c r="C175" t="s">
        <v>359</v>
      </c>
      <c r="D175" s="81"/>
    </row>
    <row r="176" spans="1:4" ht="15.75" customHeight="1" x14ac:dyDescent="0.25">
      <c r="D176" s="81"/>
    </row>
    <row r="177" spans="1:4" ht="15.75" customHeight="1" x14ac:dyDescent="0.25">
      <c r="A177" s="72" t="s">
        <v>292</v>
      </c>
      <c r="C177" s="65" t="s">
        <v>295</v>
      </c>
      <c r="D177" s="81"/>
    </row>
    <row r="178" spans="1:4" ht="15.75" customHeight="1" x14ac:dyDescent="0.25">
      <c r="A178" s="77" t="e">
        <f>'[1]Irrelevant Example'!K7</f>
        <v>#REF!</v>
      </c>
      <c r="B178" s="65" t="s">
        <v>304</v>
      </c>
      <c r="D178" s="81"/>
    </row>
    <row r="179" spans="1:4" ht="15.75" customHeight="1" x14ac:dyDescent="0.25">
      <c r="A179" t="e">
        <f t="shared" ref="A179:A256" si="5">A98</f>
        <v>#REF!</v>
      </c>
      <c r="B179" s="65" t="s">
        <v>305</v>
      </c>
      <c r="D179" s="81"/>
    </row>
    <row r="180" spans="1:4" ht="15.75" customHeight="1" x14ac:dyDescent="0.25">
      <c r="A180">
        <f t="shared" si="5"/>
        <v>4</v>
      </c>
      <c r="C180" t="s">
        <v>359</v>
      </c>
      <c r="D180" s="81"/>
    </row>
    <row r="181" spans="1:4" ht="15.75" customHeight="1" x14ac:dyDescent="0.25">
      <c r="A181">
        <f t="shared" si="5"/>
        <v>4.5</v>
      </c>
      <c r="C181" t="s">
        <v>359</v>
      </c>
      <c r="D181" s="81"/>
    </row>
    <row r="182" spans="1:4" ht="15.75" customHeight="1" x14ac:dyDescent="0.25">
      <c r="A182">
        <f t="shared" si="5"/>
        <v>5</v>
      </c>
      <c r="C182" t="s">
        <v>359</v>
      </c>
      <c r="D182" s="81"/>
    </row>
    <row r="183" spans="1:4" ht="15.75" customHeight="1" x14ac:dyDescent="0.25">
      <c r="A183">
        <f t="shared" si="5"/>
        <v>5.5</v>
      </c>
      <c r="C183" t="s">
        <v>359</v>
      </c>
      <c r="D183" s="81"/>
    </row>
    <row r="184" spans="1:4" ht="15.75" customHeight="1" x14ac:dyDescent="0.25">
      <c r="A184">
        <f t="shared" si="5"/>
        <v>6</v>
      </c>
      <c r="C184" t="s">
        <v>359</v>
      </c>
      <c r="D184" s="81"/>
    </row>
    <row r="185" spans="1:4" ht="15.75" customHeight="1" x14ac:dyDescent="0.25">
      <c r="A185">
        <f t="shared" si="5"/>
        <v>6.5</v>
      </c>
      <c r="C185" t="s">
        <v>359</v>
      </c>
      <c r="D185" s="81"/>
    </row>
    <row r="186" spans="1:4" ht="15.75" customHeight="1" x14ac:dyDescent="0.25">
      <c r="A186">
        <f t="shared" si="5"/>
        <v>7</v>
      </c>
      <c r="C186" t="s">
        <v>359</v>
      </c>
      <c r="D186" s="81"/>
    </row>
    <row r="187" spans="1:4" ht="15.75" customHeight="1" x14ac:dyDescent="0.25">
      <c r="A187">
        <f t="shared" si="5"/>
        <v>7.5</v>
      </c>
      <c r="C187" t="s">
        <v>359</v>
      </c>
      <c r="D187" s="81"/>
    </row>
    <row r="188" spans="1:4" ht="15.75" customHeight="1" x14ac:dyDescent="0.25">
      <c r="A188">
        <f t="shared" si="5"/>
        <v>8</v>
      </c>
      <c r="C188" t="s">
        <v>359</v>
      </c>
      <c r="D188" s="81"/>
    </row>
    <row r="189" spans="1:4" ht="15.75" customHeight="1" x14ac:dyDescent="0.25">
      <c r="A189">
        <f t="shared" si="5"/>
        <v>8.5</v>
      </c>
      <c r="C189" t="s">
        <v>359</v>
      </c>
      <c r="D189" s="81"/>
    </row>
    <row r="190" spans="1:4" ht="15.75" customHeight="1" x14ac:dyDescent="0.25">
      <c r="A190">
        <f t="shared" si="5"/>
        <v>9</v>
      </c>
      <c r="C190" t="s">
        <v>359</v>
      </c>
      <c r="D190" s="81"/>
    </row>
    <row r="191" spans="1:4" ht="15.75" customHeight="1" x14ac:dyDescent="0.25">
      <c r="A191">
        <f t="shared" si="5"/>
        <v>9.5</v>
      </c>
      <c r="C191" t="s">
        <v>359</v>
      </c>
      <c r="D191" s="81"/>
    </row>
    <row r="192" spans="1:4" ht="15.75" customHeight="1" x14ac:dyDescent="0.25">
      <c r="A192">
        <f t="shared" si="5"/>
        <v>10</v>
      </c>
      <c r="C192" t="s">
        <v>359</v>
      </c>
      <c r="D192" s="81"/>
    </row>
    <row r="193" spans="1:4" ht="15.75" customHeight="1" x14ac:dyDescent="0.25">
      <c r="A193">
        <f t="shared" si="5"/>
        <v>10.5</v>
      </c>
      <c r="C193" t="s">
        <v>359</v>
      </c>
      <c r="D193" s="81"/>
    </row>
    <row r="194" spans="1:4" ht="15.75" customHeight="1" x14ac:dyDescent="0.25">
      <c r="A194">
        <f t="shared" si="5"/>
        <v>11</v>
      </c>
      <c r="C194" t="s">
        <v>359</v>
      </c>
      <c r="D194" s="81"/>
    </row>
    <row r="195" spans="1:4" ht="15.75" customHeight="1" x14ac:dyDescent="0.25">
      <c r="A195">
        <f t="shared" si="5"/>
        <v>11.5</v>
      </c>
      <c r="C195" t="s">
        <v>359</v>
      </c>
      <c r="D195" s="81"/>
    </row>
    <row r="196" spans="1:4" ht="15.75" customHeight="1" x14ac:dyDescent="0.25">
      <c r="A196">
        <f t="shared" si="5"/>
        <v>12</v>
      </c>
      <c r="C196" t="s">
        <v>359</v>
      </c>
      <c r="D196" s="81"/>
    </row>
    <row r="197" spans="1:4" ht="15.75" customHeight="1" x14ac:dyDescent="0.25">
      <c r="A197">
        <f t="shared" si="5"/>
        <v>12.5</v>
      </c>
      <c r="C197" t="s">
        <v>359</v>
      </c>
      <c r="D197" s="81"/>
    </row>
    <row r="198" spans="1:4" ht="15.75" customHeight="1" x14ac:dyDescent="0.25">
      <c r="A198">
        <f t="shared" si="5"/>
        <v>13</v>
      </c>
      <c r="C198" t="s">
        <v>359</v>
      </c>
      <c r="D198" s="81"/>
    </row>
    <row r="199" spans="1:4" ht="15.75" customHeight="1" x14ac:dyDescent="0.25">
      <c r="A199">
        <f t="shared" si="5"/>
        <v>13.5</v>
      </c>
      <c r="C199" t="s">
        <v>359</v>
      </c>
      <c r="D199" s="81"/>
    </row>
    <row r="200" spans="1:4" ht="15.75" customHeight="1" x14ac:dyDescent="0.25">
      <c r="A200">
        <f t="shared" si="5"/>
        <v>14</v>
      </c>
      <c r="C200" t="s">
        <v>359</v>
      </c>
      <c r="D200" s="81"/>
    </row>
    <row r="201" spans="1:4" ht="15.75" customHeight="1" x14ac:dyDescent="0.25">
      <c r="A201">
        <f t="shared" si="5"/>
        <v>14.5</v>
      </c>
      <c r="C201" t="s">
        <v>359</v>
      </c>
      <c r="D201" s="81"/>
    </row>
    <row r="202" spans="1:4" ht="15.75" customHeight="1" x14ac:dyDescent="0.25">
      <c r="A202">
        <f t="shared" si="5"/>
        <v>15</v>
      </c>
      <c r="C202" t="s">
        <v>359</v>
      </c>
      <c r="D202" s="81"/>
    </row>
    <row r="203" spans="1:4" ht="15.75" customHeight="1" x14ac:dyDescent="0.25">
      <c r="A203">
        <f t="shared" si="5"/>
        <v>15.5</v>
      </c>
      <c r="C203" t="s">
        <v>359</v>
      </c>
      <c r="D203" s="81"/>
    </row>
    <row r="204" spans="1:4" ht="15.75" customHeight="1" x14ac:dyDescent="0.25">
      <c r="A204">
        <f t="shared" si="5"/>
        <v>16</v>
      </c>
      <c r="C204" t="s">
        <v>359</v>
      </c>
      <c r="D204" s="81"/>
    </row>
    <row r="205" spans="1:4" ht="15.75" customHeight="1" x14ac:dyDescent="0.25">
      <c r="A205">
        <f t="shared" si="5"/>
        <v>16.5</v>
      </c>
      <c r="C205" t="s">
        <v>359</v>
      </c>
      <c r="D205" s="81"/>
    </row>
    <row r="206" spans="1:4" ht="15.75" customHeight="1" x14ac:dyDescent="0.25">
      <c r="A206">
        <f t="shared" si="5"/>
        <v>17</v>
      </c>
      <c r="C206" t="s">
        <v>359</v>
      </c>
      <c r="D206" s="81"/>
    </row>
    <row r="207" spans="1:4" ht="15.75" customHeight="1" x14ac:dyDescent="0.25">
      <c r="A207">
        <f t="shared" si="5"/>
        <v>17.5</v>
      </c>
      <c r="C207" t="s">
        <v>359</v>
      </c>
      <c r="D207" s="81"/>
    </row>
    <row r="208" spans="1:4" ht="15.75" customHeight="1" x14ac:dyDescent="0.25">
      <c r="A208">
        <f t="shared" si="5"/>
        <v>18</v>
      </c>
      <c r="C208" t="s">
        <v>359</v>
      </c>
      <c r="D208" s="81"/>
    </row>
    <row r="209" spans="1:4" ht="15.75" customHeight="1" x14ac:dyDescent="0.25">
      <c r="A209">
        <f t="shared" si="5"/>
        <v>18.5</v>
      </c>
      <c r="C209" t="s">
        <v>359</v>
      </c>
      <c r="D209" s="81"/>
    </row>
    <row r="210" spans="1:4" ht="15.75" customHeight="1" x14ac:dyDescent="0.25">
      <c r="A210">
        <f t="shared" si="5"/>
        <v>19</v>
      </c>
      <c r="C210" t="s">
        <v>359</v>
      </c>
      <c r="D210" s="81"/>
    </row>
    <row r="211" spans="1:4" ht="15.75" customHeight="1" x14ac:dyDescent="0.25">
      <c r="A211">
        <f t="shared" si="5"/>
        <v>19.5</v>
      </c>
      <c r="C211" t="s">
        <v>359</v>
      </c>
      <c r="D211" s="81"/>
    </row>
    <row r="212" spans="1:4" ht="15.75" customHeight="1" x14ac:dyDescent="0.25">
      <c r="A212">
        <f t="shared" si="5"/>
        <v>20</v>
      </c>
      <c r="C212" t="s">
        <v>359</v>
      </c>
      <c r="D212" s="81"/>
    </row>
    <row r="213" spans="1:4" ht="15.75" customHeight="1" x14ac:dyDescent="0.25">
      <c r="A213">
        <f t="shared" si="5"/>
        <v>20.5</v>
      </c>
      <c r="C213" t="s">
        <v>359</v>
      </c>
      <c r="D213" s="81"/>
    </row>
    <row r="214" spans="1:4" ht="15.75" customHeight="1" x14ac:dyDescent="0.25">
      <c r="A214">
        <f t="shared" si="5"/>
        <v>21</v>
      </c>
      <c r="C214" t="s">
        <v>359</v>
      </c>
      <c r="D214" s="81"/>
    </row>
    <row r="215" spans="1:4" ht="15.75" customHeight="1" x14ac:dyDescent="0.25">
      <c r="A215">
        <f t="shared" si="5"/>
        <v>21.5</v>
      </c>
      <c r="C215" t="s">
        <v>359</v>
      </c>
      <c r="D215" s="81"/>
    </row>
    <row r="216" spans="1:4" ht="15.75" customHeight="1" x14ac:dyDescent="0.25">
      <c r="A216">
        <f t="shared" si="5"/>
        <v>22</v>
      </c>
      <c r="C216" t="s">
        <v>359</v>
      </c>
      <c r="D216" s="81"/>
    </row>
    <row r="217" spans="1:4" ht="15.75" customHeight="1" x14ac:dyDescent="0.25">
      <c r="A217">
        <f t="shared" si="5"/>
        <v>22.5</v>
      </c>
      <c r="C217" t="s">
        <v>359</v>
      </c>
      <c r="D217" s="81"/>
    </row>
    <row r="218" spans="1:4" ht="15.75" customHeight="1" x14ac:dyDescent="0.25">
      <c r="A218">
        <f t="shared" si="5"/>
        <v>23</v>
      </c>
      <c r="C218" t="s">
        <v>359</v>
      </c>
      <c r="D218" s="81"/>
    </row>
    <row r="219" spans="1:4" ht="15.75" customHeight="1" x14ac:dyDescent="0.25">
      <c r="A219">
        <f t="shared" si="5"/>
        <v>23.5</v>
      </c>
      <c r="C219" t="s">
        <v>359</v>
      </c>
      <c r="D219" s="81"/>
    </row>
    <row r="220" spans="1:4" ht="15.75" customHeight="1" x14ac:dyDescent="0.25">
      <c r="A220">
        <f t="shared" si="5"/>
        <v>24</v>
      </c>
      <c r="C220" t="s">
        <v>359</v>
      </c>
      <c r="D220" s="81"/>
    </row>
    <row r="221" spans="1:4" ht="15.75" customHeight="1" x14ac:dyDescent="0.25">
      <c r="A221">
        <f t="shared" si="5"/>
        <v>24.5</v>
      </c>
      <c r="C221" t="s">
        <v>359</v>
      </c>
      <c r="D221" s="81"/>
    </row>
    <row r="222" spans="1:4" ht="15.75" customHeight="1" x14ac:dyDescent="0.25">
      <c r="A222">
        <f t="shared" si="5"/>
        <v>25</v>
      </c>
      <c r="C222" t="s">
        <v>359</v>
      </c>
      <c r="D222" s="81"/>
    </row>
    <row r="223" spans="1:4" ht="15.75" customHeight="1" x14ac:dyDescent="0.25">
      <c r="A223">
        <f t="shared" si="5"/>
        <v>25.5</v>
      </c>
      <c r="C223" t="s">
        <v>359</v>
      </c>
      <c r="D223" s="81"/>
    </row>
    <row r="224" spans="1:4" ht="15.75" customHeight="1" x14ac:dyDescent="0.25">
      <c r="A224">
        <f t="shared" si="5"/>
        <v>26</v>
      </c>
      <c r="C224" t="s">
        <v>359</v>
      </c>
      <c r="D224" s="81"/>
    </row>
    <row r="225" spans="1:4" ht="15.75" customHeight="1" x14ac:dyDescent="0.25">
      <c r="A225">
        <f t="shared" si="5"/>
        <v>26.5</v>
      </c>
      <c r="C225" t="s">
        <v>359</v>
      </c>
      <c r="D225" s="81"/>
    </row>
    <row r="226" spans="1:4" ht="15.75" customHeight="1" x14ac:dyDescent="0.25">
      <c r="A226">
        <f t="shared" si="5"/>
        <v>27</v>
      </c>
      <c r="C226" t="s">
        <v>359</v>
      </c>
      <c r="D226" s="81"/>
    </row>
    <row r="227" spans="1:4" ht="15.75" customHeight="1" x14ac:dyDescent="0.25">
      <c r="A227">
        <f t="shared" si="5"/>
        <v>27.5</v>
      </c>
      <c r="C227" t="s">
        <v>359</v>
      </c>
      <c r="D227" s="81"/>
    </row>
    <row r="228" spans="1:4" ht="15.75" customHeight="1" x14ac:dyDescent="0.25">
      <c r="A228">
        <f t="shared" si="5"/>
        <v>28</v>
      </c>
      <c r="C228" t="s">
        <v>359</v>
      </c>
      <c r="D228" s="81"/>
    </row>
    <row r="229" spans="1:4" ht="15.75" customHeight="1" x14ac:dyDescent="0.25">
      <c r="A229">
        <f t="shared" si="5"/>
        <v>28.5</v>
      </c>
      <c r="C229" t="s">
        <v>359</v>
      </c>
      <c r="D229" s="81"/>
    </row>
    <row r="230" spans="1:4" ht="15.75" customHeight="1" x14ac:dyDescent="0.25">
      <c r="A230">
        <f t="shared" si="5"/>
        <v>29</v>
      </c>
      <c r="C230" t="s">
        <v>359</v>
      </c>
      <c r="D230" s="81"/>
    </row>
    <row r="231" spans="1:4" ht="15.75" customHeight="1" x14ac:dyDescent="0.25">
      <c r="A231">
        <f t="shared" si="5"/>
        <v>29.5</v>
      </c>
      <c r="C231" t="s">
        <v>359</v>
      </c>
      <c r="D231" s="81"/>
    </row>
    <row r="232" spans="1:4" ht="15.75" customHeight="1" x14ac:dyDescent="0.25">
      <c r="A232">
        <f t="shared" si="5"/>
        <v>30</v>
      </c>
      <c r="C232" t="s">
        <v>359</v>
      </c>
      <c r="D232" s="81"/>
    </row>
    <row r="233" spans="1:4" ht="15.75" customHeight="1" x14ac:dyDescent="0.25">
      <c r="A233">
        <f t="shared" si="5"/>
        <v>30.5</v>
      </c>
      <c r="C233" t="s">
        <v>359</v>
      </c>
      <c r="D233" s="81"/>
    </row>
    <row r="234" spans="1:4" ht="15.75" customHeight="1" x14ac:dyDescent="0.25">
      <c r="A234">
        <f t="shared" si="5"/>
        <v>31</v>
      </c>
      <c r="C234" t="s">
        <v>359</v>
      </c>
      <c r="D234" s="81"/>
    </row>
    <row r="235" spans="1:4" ht="15.75" customHeight="1" x14ac:dyDescent="0.25">
      <c r="A235">
        <f t="shared" si="5"/>
        <v>31.5</v>
      </c>
      <c r="C235" t="s">
        <v>359</v>
      </c>
      <c r="D235" s="81"/>
    </row>
    <row r="236" spans="1:4" ht="15.75" customHeight="1" x14ac:dyDescent="0.25">
      <c r="A236">
        <f t="shared" si="5"/>
        <v>32</v>
      </c>
      <c r="C236" t="s">
        <v>359</v>
      </c>
      <c r="D236" s="81"/>
    </row>
    <row r="237" spans="1:4" ht="15.75" customHeight="1" x14ac:dyDescent="0.25">
      <c r="A237">
        <f t="shared" si="5"/>
        <v>32.5</v>
      </c>
      <c r="C237" t="s">
        <v>359</v>
      </c>
      <c r="D237" s="81"/>
    </row>
    <row r="238" spans="1:4" ht="15.75" customHeight="1" x14ac:dyDescent="0.25">
      <c r="A238">
        <f t="shared" si="5"/>
        <v>33</v>
      </c>
      <c r="C238" t="s">
        <v>359</v>
      </c>
      <c r="D238" s="81"/>
    </row>
    <row r="239" spans="1:4" ht="15.75" customHeight="1" x14ac:dyDescent="0.25">
      <c r="A239">
        <f t="shared" si="5"/>
        <v>33.5</v>
      </c>
      <c r="C239" t="s">
        <v>359</v>
      </c>
      <c r="D239" s="81"/>
    </row>
    <row r="240" spans="1:4" ht="15.75" customHeight="1" x14ac:dyDescent="0.25">
      <c r="A240">
        <f t="shared" si="5"/>
        <v>34</v>
      </c>
      <c r="C240" t="s">
        <v>359</v>
      </c>
      <c r="D240" s="81"/>
    </row>
    <row r="241" spans="1:4" ht="15.75" customHeight="1" x14ac:dyDescent="0.25">
      <c r="A241">
        <f t="shared" si="5"/>
        <v>34.5</v>
      </c>
      <c r="C241" t="s">
        <v>359</v>
      </c>
      <c r="D241" s="81"/>
    </row>
    <row r="242" spans="1:4" ht="15.75" customHeight="1" x14ac:dyDescent="0.25">
      <c r="A242">
        <f t="shared" si="5"/>
        <v>35</v>
      </c>
      <c r="C242" t="s">
        <v>359</v>
      </c>
      <c r="D242" s="81"/>
    </row>
    <row r="243" spans="1:4" ht="15.75" customHeight="1" x14ac:dyDescent="0.25">
      <c r="A243">
        <f t="shared" si="5"/>
        <v>35.5</v>
      </c>
      <c r="C243" t="s">
        <v>359</v>
      </c>
      <c r="D243" s="81"/>
    </row>
    <row r="244" spans="1:4" ht="15.75" customHeight="1" x14ac:dyDescent="0.25">
      <c r="A244">
        <f t="shared" si="5"/>
        <v>36</v>
      </c>
      <c r="C244" t="s">
        <v>359</v>
      </c>
      <c r="D244" s="81"/>
    </row>
    <row r="245" spans="1:4" ht="15.75" customHeight="1" x14ac:dyDescent="0.25">
      <c r="A245">
        <f t="shared" si="5"/>
        <v>36.5</v>
      </c>
      <c r="C245" t="s">
        <v>359</v>
      </c>
      <c r="D245" s="81"/>
    </row>
    <row r="246" spans="1:4" ht="15.75" customHeight="1" x14ac:dyDescent="0.25">
      <c r="A246">
        <f t="shared" si="5"/>
        <v>37</v>
      </c>
      <c r="C246" t="s">
        <v>359</v>
      </c>
      <c r="D246" s="81"/>
    </row>
    <row r="247" spans="1:4" ht="15.75" customHeight="1" x14ac:dyDescent="0.25">
      <c r="A247">
        <f t="shared" si="5"/>
        <v>37.5</v>
      </c>
      <c r="C247" t="s">
        <v>359</v>
      </c>
      <c r="D247" s="81"/>
    </row>
    <row r="248" spans="1:4" ht="15.75" customHeight="1" x14ac:dyDescent="0.25">
      <c r="A248">
        <f t="shared" si="5"/>
        <v>38</v>
      </c>
      <c r="C248" t="s">
        <v>359</v>
      </c>
      <c r="D248" s="81"/>
    </row>
    <row r="249" spans="1:4" ht="15.75" customHeight="1" x14ac:dyDescent="0.25">
      <c r="A249">
        <f t="shared" si="5"/>
        <v>38.5</v>
      </c>
      <c r="C249" t="s">
        <v>359</v>
      </c>
      <c r="D249" s="81"/>
    </row>
    <row r="250" spans="1:4" ht="15.75" customHeight="1" x14ac:dyDescent="0.25">
      <c r="A250">
        <f t="shared" si="5"/>
        <v>39</v>
      </c>
      <c r="C250" t="s">
        <v>359</v>
      </c>
      <c r="D250" s="81"/>
    </row>
    <row r="251" spans="1:4" ht="15.75" customHeight="1" x14ac:dyDescent="0.25">
      <c r="A251">
        <f t="shared" si="5"/>
        <v>39.5</v>
      </c>
      <c r="C251" t="s">
        <v>359</v>
      </c>
      <c r="D251" s="81"/>
    </row>
    <row r="252" spans="1:4" ht="15.75" customHeight="1" x14ac:dyDescent="0.25">
      <c r="A252">
        <f t="shared" si="5"/>
        <v>40</v>
      </c>
      <c r="C252" t="s">
        <v>359</v>
      </c>
      <c r="D252" s="81"/>
    </row>
    <row r="253" spans="1:4" ht="15.75" customHeight="1" x14ac:dyDescent="0.25">
      <c r="A253">
        <f t="shared" si="5"/>
        <v>40.5</v>
      </c>
      <c r="C253" t="s">
        <v>359</v>
      </c>
      <c r="D253" s="81"/>
    </row>
    <row r="254" spans="1:4" ht="15.75" customHeight="1" x14ac:dyDescent="0.25">
      <c r="A254">
        <f t="shared" si="5"/>
        <v>41</v>
      </c>
      <c r="C254" t="s">
        <v>359</v>
      </c>
      <c r="D254" s="81"/>
    </row>
    <row r="255" spans="1:4" ht="15.75" customHeight="1" x14ac:dyDescent="0.25">
      <c r="A255">
        <f t="shared" si="5"/>
        <v>41.5</v>
      </c>
      <c r="C255" t="s">
        <v>359</v>
      </c>
      <c r="D255" s="81"/>
    </row>
    <row r="256" spans="1:4" ht="15.75" customHeight="1" x14ac:dyDescent="0.25">
      <c r="A256">
        <f t="shared" si="5"/>
        <v>42</v>
      </c>
      <c r="C256" t="s">
        <v>359</v>
      </c>
      <c r="D256" s="81"/>
    </row>
    <row r="257" spans="4:4" ht="15.75" customHeight="1" x14ac:dyDescent="0.25">
      <c r="D257" s="81"/>
    </row>
    <row r="258" spans="4:4" ht="15.75" customHeight="1" x14ac:dyDescent="0.25">
      <c r="D258" s="81"/>
    </row>
    <row r="259" spans="4:4" ht="15.75" customHeight="1" x14ac:dyDescent="0.25">
      <c r="D259" s="81"/>
    </row>
    <row r="260" spans="4:4" ht="15.75" customHeight="1" x14ac:dyDescent="0.25">
      <c r="D260" s="81"/>
    </row>
    <row r="261" spans="4:4" ht="15.75" customHeight="1" x14ac:dyDescent="0.25">
      <c r="D261" s="81"/>
    </row>
    <row r="262" spans="4:4" ht="15.75" customHeight="1" x14ac:dyDescent="0.25">
      <c r="D262" s="81"/>
    </row>
    <row r="263" spans="4:4" ht="15.75" customHeight="1" x14ac:dyDescent="0.25">
      <c r="D263" s="81"/>
    </row>
    <row r="264" spans="4:4" ht="15.75" customHeight="1" x14ac:dyDescent="0.25">
      <c r="D264" s="81"/>
    </row>
    <row r="265" spans="4:4" ht="15.75" customHeight="1" x14ac:dyDescent="0.25">
      <c r="D265" s="81"/>
    </row>
    <row r="266" spans="4:4" ht="15.75" customHeight="1" x14ac:dyDescent="0.25">
      <c r="D266" s="81"/>
    </row>
    <row r="267" spans="4:4" ht="15.75" customHeight="1" x14ac:dyDescent="0.25">
      <c r="D267" s="81"/>
    </row>
    <row r="268" spans="4:4" ht="15.75" customHeight="1" x14ac:dyDescent="0.25">
      <c r="D268" s="81"/>
    </row>
    <row r="269" spans="4:4" ht="15.75" customHeight="1" x14ac:dyDescent="0.25">
      <c r="D269" s="81"/>
    </row>
    <row r="270" spans="4:4" ht="15.75" customHeight="1" x14ac:dyDescent="0.25">
      <c r="D270" s="81"/>
    </row>
    <row r="271" spans="4:4" ht="15.75" customHeight="1" x14ac:dyDescent="0.25">
      <c r="D271" s="81"/>
    </row>
    <row r="272" spans="4:4" ht="15.75" customHeight="1" x14ac:dyDescent="0.25">
      <c r="D272" s="81"/>
    </row>
    <row r="273" spans="4:4" ht="15.75" customHeight="1" x14ac:dyDescent="0.25">
      <c r="D273" s="81"/>
    </row>
    <row r="274" spans="4:4" ht="15.75" customHeight="1" x14ac:dyDescent="0.25">
      <c r="D274" s="81"/>
    </row>
    <row r="275" spans="4:4" ht="15.75" customHeight="1" x14ac:dyDescent="0.25">
      <c r="D275" s="81"/>
    </row>
    <row r="276" spans="4:4" ht="15.75" customHeight="1" x14ac:dyDescent="0.25">
      <c r="D276" s="81"/>
    </row>
    <row r="277" spans="4:4" ht="15.75" customHeight="1" x14ac:dyDescent="0.25">
      <c r="D277" s="81"/>
    </row>
    <row r="278" spans="4:4" ht="15.75" customHeight="1" x14ac:dyDescent="0.25">
      <c r="D278" s="81"/>
    </row>
    <row r="279" spans="4:4" ht="15.75" customHeight="1" x14ac:dyDescent="0.25">
      <c r="D279" s="81"/>
    </row>
    <row r="280" spans="4:4" ht="15.75" customHeight="1" x14ac:dyDescent="0.25">
      <c r="D280" s="81"/>
    </row>
    <row r="281" spans="4:4" ht="15.75" customHeight="1" x14ac:dyDescent="0.25">
      <c r="D281" s="81"/>
    </row>
    <row r="282" spans="4:4" ht="15.75" customHeight="1" x14ac:dyDescent="0.25">
      <c r="D282" s="81"/>
    </row>
    <row r="283" spans="4:4" ht="15.75" customHeight="1" x14ac:dyDescent="0.25">
      <c r="D283" s="81"/>
    </row>
    <row r="284" spans="4:4" ht="15.75" customHeight="1" x14ac:dyDescent="0.25">
      <c r="D284" s="81"/>
    </row>
    <row r="285" spans="4:4" ht="15.75" customHeight="1" x14ac:dyDescent="0.25">
      <c r="D285" s="81"/>
    </row>
    <row r="286" spans="4:4" ht="15.75" customHeight="1" x14ac:dyDescent="0.25">
      <c r="D286" s="81"/>
    </row>
    <row r="287" spans="4:4" ht="15.75" customHeight="1" x14ac:dyDescent="0.25">
      <c r="D287" s="81"/>
    </row>
    <row r="288" spans="4:4" ht="15.75" customHeight="1" x14ac:dyDescent="0.25">
      <c r="D288" s="81"/>
    </row>
    <row r="289" spans="4:4" ht="15.75" customHeight="1" x14ac:dyDescent="0.25">
      <c r="D289" s="81"/>
    </row>
    <row r="290" spans="4:4" ht="15.75" customHeight="1" x14ac:dyDescent="0.25">
      <c r="D290" s="81"/>
    </row>
    <row r="291" spans="4:4" ht="15.75" customHeight="1" x14ac:dyDescent="0.25">
      <c r="D291" s="81"/>
    </row>
    <row r="292" spans="4:4" ht="15.75" customHeight="1" x14ac:dyDescent="0.25">
      <c r="D292" s="81"/>
    </row>
    <row r="293" spans="4:4" ht="15.75" customHeight="1" x14ac:dyDescent="0.25">
      <c r="D293" s="81"/>
    </row>
    <row r="294" spans="4:4" ht="15.75" customHeight="1" x14ac:dyDescent="0.25">
      <c r="D294" s="81"/>
    </row>
    <row r="295" spans="4:4" ht="15.75" customHeight="1" x14ac:dyDescent="0.25">
      <c r="D295" s="81"/>
    </row>
    <row r="296" spans="4:4" ht="15.75" customHeight="1" x14ac:dyDescent="0.25">
      <c r="D296" s="81"/>
    </row>
    <row r="297" spans="4:4" ht="15.75" customHeight="1" x14ac:dyDescent="0.25">
      <c r="D297" s="81"/>
    </row>
    <row r="298" spans="4:4" ht="15.75" customHeight="1" x14ac:dyDescent="0.25">
      <c r="D298" s="81"/>
    </row>
    <row r="299" spans="4:4" ht="15.75" customHeight="1" x14ac:dyDescent="0.25">
      <c r="D299" s="81"/>
    </row>
    <row r="300" spans="4:4" ht="15.75" customHeight="1" x14ac:dyDescent="0.25">
      <c r="D300" s="81"/>
    </row>
    <row r="301" spans="4:4" ht="15.75" customHeight="1" x14ac:dyDescent="0.25">
      <c r="D301" s="81"/>
    </row>
    <row r="302" spans="4:4" ht="15.75" customHeight="1" x14ac:dyDescent="0.25">
      <c r="D302" s="81"/>
    </row>
    <row r="303" spans="4:4" ht="15.75" customHeight="1" x14ac:dyDescent="0.25">
      <c r="D303" s="81"/>
    </row>
    <row r="304" spans="4:4" ht="15.75" customHeight="1" x14ac:dyDescent="0.25">
      <c r="D304" s="81"/>
    </row>
    <row r="305" spans="4:4" ht="15.75" customHeight="1" x14ac:dyDescent="0.25">
      <c r="D305" s="81"/>
    </row>
    <row r="306" spans="4:4" ht="15.75" customHeight="1" x14ac:dyDescent="0.25">
      <c r="D306" s="81"/>
    </row>
    <row r="307" spans="4:4" ht="15.75" customHeight="1" x14ac:dyDescent="0.25">
      <c r="D307" s="81"/>
    </row>
    <row r="308" spans="4:4" ht="15.75" customHeight="1" x14ac:dyDescent="0.25">
      <c r="D308" s="81"/>
    </row>
    <row r="309" spans="4:4" ht="15.75" customHeight="1" x14ac:dyDescent="0.25">
      <c r="D309" s="81"/>
    </row>
    <row r="310" spans="4:4" ht="15.75" customHeight="1" x14ac:dyDescent="0.25">
      <c r="D310" s="81"/>
    </row>
    <row r="311" spans="4:4" ht="15.75" customHeight="1" x14ac:dyDescent="0.25">
      <c r="D311" s="81"/>
    </row>
    <row r="312" spans="4:4" ht="15.75" customHeight="1" x14ac:dyDescent="0.25">
      <c r="D312" s="81"/>
    </row>
    <row r="313" spans="4:4" ht="15.75" customHeight="1" x14ac:dyDescent="0.25">
      <c r="D313" s="81"/>
    </row>
    <row r="314" spans="4:4" ht="15.75" customHeight="1" x14ac:dyDescent="0.25">
      <c r="D314" s="81"/>
    </row>
    <row r="315" spans="4:4" ht="15.75" customHeight="1" x14ac:dyDescent="0.25">
      <c r="D315" s="81"/>
    </row>
    <row r="316" spans="4:4" ht="15.75" customHeight="1" x14ac:dyDescent="0.25">
      <c r="D316" s="81"/>
    </row>
    <row r="317" spans="4:4" ht="15.75" customHeight="1" x14ac:dyDescent="0.25">
      <c r="D317" s="81"/>
    </row>
    <row r="318" spans="4:4" ht="15.75" customHeight="1" x14ac:dyDescent="0.25">
      <c r="D318" s="81"/>
    </row>
    <row r="319" spans="4:4" ht="15.75" customHeight="1" x14ac:dyDescent="0.25">
      <c r="D319" s="81"/>
    </row>
    <row r="320" spans="4:4" ht="15.75" customHeight="1" x14ac:dyDescent="0.25">
      <c r="D320" s="81"/>
    </row>
    <row r="321" spans="4:4" ht="15.75" customHeight="1" x14ac:dyDescent="0.25">
      <c r="D321" s="81"/>
    </row>
    <row r="322" spans="4:4" ht="15.75" customHeight="1" x14ac:dyDescent="0.25">
      <c r="D322" s="81"/>
    </row>
    <row r="323" spans="4:4" ht="15.75" customHeight="1" x14ac:dyDescent="0.25">
      <c r="D323" s="81"/>
    </row>
    <row r="324" spans="4:4" ht="15.75" customHeight="1" x14ac:dyDescent="0.25">
      <c r="D324" s="81"/>
    </row>
    <row r="325" spans="4:4" ht="15.75" customHeight="1" x14ac:dyDescent="0.25">
      <c r="D325" s="81"/>
    </row>
    <row r="326" spans="4:4" ht="15.75" customHeight="1" x14ac:dyDescent="0.25">
      <c r="D326" s="81"/>
    </row>
    <row r="327" spans="4:4" ht="15.75" customHeight="1" x14ac:dyDescent="0.25">
      <c r="D327" s="81"/>
    </row>
    <row r="328" spans="4:4" ht="15.75" customHeight="1" x14ac:dyDescent="0.25">
      <c r="D328" s="81"/>
    </row>
    <row r="329" spans="4:4" ht="15.75" customHeight="1" x14ac:dyDescent="0.25">
      <c r="D329" s="81"/>
    </row>
    <row r="330" spans="4:4" ht="15.75" customHeight="1" x14ac:dyDescent="0.25">
      <c r="D330" s="81"/>
    </row>
    <row r="331" spans="4:4" ht="15.75" customHeight="1" x14ac:dyDescent="0.25">
      <c r="D331" s="81"/>
    </row>
    <row r="332" spans="4:4" ht="15.75" customHeight="1" x14ac:dyDescent="0.25">
      <c r="D332" s="81"/>
    </row>
    <row r="333" spans="4:4" ht="15.75" customHeight="1" x14ac:dyDescent="0.25">
      <c r="D333" s="81"/>
    </row>
    <row r="334" spans="4:4" ht="15.75" customHeight="1" x14ac:dyDescent="0.25">
      <c r="D334" s="81"/>
    </row>
    <row r="335" spans="4:4" ht="15.75" customHeight="1" x14ac:dyDescent="0.25">
      <c r="D335" s="81"/>
    </row>
    <row r="336" spans="4:4" ht="15.75" customHeight="1" x14ac:dyDescent="0.25">
      <c r="D336" s="81"/>
    </row>
    <row r="337" spans="4:4" ht="15.75" customHeight="1" x14ac:dyDescent="0.25">
      <c r="D337" s="81"/>
    </row>
    <row r="338" spans="4:4" ht="15.75" customHeight="1" x14ac:dyDescent="0.25">
      <c r="D338" s="81"/>
    </row>
    <row r="339" spans="4:4" ht="15.75" customHeight="1" x14ac:dyDescent="0.25">
      <c r="D339" s="81"/>
    </row>
    <row r="340" spans="4:4" ht="15.75" customHeight="1" x14ac:dyDescent="0.25">
      <c r="D340" s="81"/>
    </row>
    <row r="341" spans="4:4" ht="15.75" customHeight="1" x14ac:dyDescent="0.25">
      <c r="D341" s="81"/>
    </row>
    <row r="342" spans="4:4" ht="15.75" customHeight="1" x14ac:dyDescent="0.25">
      <c r="D342" s="81"/>
    </row>
    <row r="343" spans="4:4" ht="15.75" customHeight="1" x14ac:dyDescent="0.25">
      <c r="D343" s="81"/>
    </row>
    <row r="344" spans="4:4" ht="15.75" customHeight="1" x14ac:dyDescent="0.25">
      <c r="D344" s="81"/>
    </row>
    <row r="345" spans="4:4" ht="15.75" customHeight="1" x14ac:dyDescent="0.25">
      <c r="D345" s="81"/>
    </row>
    <row r="346" spans="4:4" ht="15.75" customHeight="1" x14ac:dyDescent="0.25">
      <c r="D346" s="81"/>
    </row>
    <row r="347" spans="4:4" ht="15.75" customHeight="1" x14ac:dyDescent="0.25">
      <c r="D347" s="81"/>
    </row>
    <row r="348" spans="4:4" ht="15.75" customHeight="1" x14ac:dyDescent="0.25">
      <c r="D348" s="81"/>
    </row>
    <row r="349" spans="4:4" ht="15.75" customHeight="1" x14ac:dyDescent="0.25">
      <c r="D349" s="81"/>
    </row>
    <row r="350" spans="4:4" ht="15.75" customHeight="1" x14ac:dyDescent="0.25">
      <c r="D350" s="81"/>
    </row>
    <row r="351" spans="4:4" ht="15.75" customHeight="1" x14ac:dyDescent="0.25">
      <c r="D351" s="81"/>
    </row>
    <row r="352" spans="4:4" ht="15.75" customHeight="1" x14ac:dyDescent="0.25">
      <c r="D352" s="81"/>
    </row>
    <row r="353" spans="4:4" ht="15.75" customHeight="1" x14ac:dyDescent="0.25">
      <c r="D353" s="81"/>
    </row>
    <row r="354" spans="4:4" ht="15.75" customHeight="1" x14ac:dyDescent="0.25">
      <c r="D354" s="81"/>
    </row>
    <row r="355" spans="4:4" ht="15.75" customHeight="1" x14ac:dyDescent="0.25">
      <c r="D355" s="81"/>
    </row>
    <row r="356" spans="4:4" ht="15.75" customHeight="1" x14ac:dyDescent="0.25">
      <c r="D356" s="81"/>
    </row>
    <row r="357" spans="4:4" ht="15.75" customHeight="1" x14ac:dyDescent="0.25">
      <c r="D357" s="81"/>
    </row>
    <row r="358" spans="4:4" ht="15.75" customHeight="1" x14ac:dyDescent="0.25">
      <c r="D358" s="81"/>
    </row>
    <row r="359" spans="4:4" ht="15.75" customHeight="1" x14ac:dyDescent="0.25">
      <c r="D359" s="81"/>
    </row>
    <row r="360" spans="4:4" ht="15.75" customHeight="1" x14ac:dyDescent="0.25">
      <c r="D360" s="81"/>
    </row>
    <row r="361" spans="4:4" ht="15.75" customHeight="1" x14ac:dyDescent="0.25">
      <c r="D361" s="81"/>
    </row>
    <row r="362" spans="4:4" ht="15.75" customHeight="1" x14ac:dyDescent="0.25">
      <c r="D362" s="81"/>
    </row>
    <row r="363" spans="4:4" ht="15.75" customHeight="1" x14ac:dyDescent="0.25">
      <c r="D363" s="81"/>
    </row>
    <row r="364" spans="4:4" ht="15.75" customHeight="1" x14ac:dyDescent="0.25">
      <c r="D364" s="81"/>
    </row>
    <row r="365" spans="4:4" ht="15.75" customHeight="1" x14ac:dyDescent="0.25">
      <c r="D365" s="81"/>
    </row>
    <row r="366" spans="4:4" ht="15.75" customHeight="1" x14ac:dyDescent="0.25">
      <c r="D366" s="81"/>
    </row>
    <row r="367" spans="4:4" ht="15.75" customHeight="1" x14ac:dyDescent="0.25">
      <c r="D367" s="81"/>
    </row>
    <row r="368" spans="4:4" ht="15.75" customHeight="1" x14ac:dyDescent="0.25">
      <c r="D368" s="81"/>
    </row>
    <row r="369" spans="4:4" ht="15.75" customHeight="1" x14ac:dyDescent="0.25">
      <c r="D369" s="81"/>
    </row>
    <row r="370" spans="4:4" ht="15.75" customHeight="1" x14ac:dyDescent="0.25">
      <c r="D370" s="81"/>
    </row>
    <row r="371" spans="4:4" ht="15.75" customHeight="1" x14ac:dyDescent="0.25">
      <c r="D371" s="81"/>
    </row>
    <row r="372" spans="4:4" ht="15.75" customHeight="1" x14ac:dyDescent="0.25">
      <c r="D372" s="81"/>
    </row>
    <row r="373" spans="4:4" ht="15.75" customHeight="1" x14ac:dyDescent="0.25">
      <c r="D373" s="81"/>
    </row>
    <row r="374" spans="4:4" ht="15.75" customHeight="1" x14ac:dyDescent="0.25">
      <c r="D374" s="81"/>
    </row>
    <row r="375" spans="4:4" ht="15.75" customHeight="1" x14ac:dyDescent="0.25">
      <c r="D375" s="81"/>
    </row>
    <row r="376" spans="4:4" ht="15.75" customHeight="1" x14ac:dyDescent="0.25">
      <c r="D376" s="81"/>
    </row>
    <row r="377" spans="4:4" ht="15.75" customHeight="1" x14ac:dyDescent="0.25">
      <c r="D377" s="81"/>
    </row>
    <row r="378" spans="4:4" ht="15.75" customHeight="1" x14ac:dyDescent="0.25">
      <c r="D378" s="81"/>
    </row>
    <row r="379" spans="4:4" ht="15.75" customHeight="1" x14ac:dyDescent="0.25">
      <c r="D379" s="81"/>
    </row>
    <row r="380" spans="4:4" ht="15.75" customHeight="1" x14ac:dyDescent="0.25">
      <c r="D380" s="81"/>
    </row>
    <row r="381" spans="4:4" ht="15.75" customHeight="1" x14ac:dyDescent="0.25">
      <c r="D381" s="81"/>
    </row>
    <row r="382" spans="4:4" ht="15.75" customHeight="1" x14ac:dyDescent="0.25">
      <c r="D382" s="81"/>
    </row>
    <row r="383" spans="4:4" ht="15.75" customHeight="1" x14ac:dyDescent="0.25">
      <c r="D383" s="81"/>
    </row>
    <row r="384" spans="4:4" ht="15.75" customHeight="1" x14ac:dyDescent="0.25">
      <c r="D384" s="81"/>
    </row>
    <row r="385" spans="4:4" ht="15.75" customHeight="1" x14ac:dyDescent="0.25">
      <c r="D385" s="81"/>
    </row>
    <row r="386" spans="4:4" ht="15.75" customHeight="1" x14ac:dyDescent="0.25">
      <c r="D386" s="81"/>
    </row>
    <row r="387" spans="4:4" ht="15.75" customHeight="1" x14ac:dyDescent="0.25">
      <c r="D387" s="81"/>
    </row>
    <row r="388" spans="4:4" ht="15.75" customHeight="1" x14ac:dyDescent="0.25">
      <c r="D388" s="81"/>
    </row>
    <row r="389" spans="4:4" ht="15.75" customHeight="1" x14ac:dyDescent="0.25">
      <c r="D389" s="81"/>
    </row>
    <row r="390" spans="4:4" ht="15.75" customHeight="1" x14ac:dyDescent="0.25">
      <c r="D390" s="81"/>
    </row>
    <row r="391" spans="4:4" ht="15.75" customHeight="1" x14ac:dyDescent="0.25">
      <c r="D391" s="81"/>
    </row>
    <row r="392" spans="4:4" ht="15.75" customHeight="1" x14ac:dyDescent="0.25">
      <c r="D392" s="81"/>
    </row>
    <row r="393" spans="4:4" ht="15.75" customHeight="1" x14ac:dyDescent="0.25">
      <c r="D393" s="81"/>
    </row>
    <row r="394" spans="4:4" ht="15.75" customHeight="1" x14ac:dyDescent="0.25">
      <c r="D394" s="81"/>
    </row>
    <row r="395" spans="4:4" ht="15.75" customHeight="1" x14ac:dyDescent="0.25">
      <c r="D395" s="81"/>
    </row>
    <row r="396" spans="4:4" ht="15.75" customHeight="1" x14ac:dyDescent="0.25">
      <c r="D396" s="81"/>
    </row>
    <row r="397" spans="4:4" ht="15.75" customHeight="1" x14ac:dyDescent="0.25">
      <c r="D397" s="81"/>
    </row>
    <row r="398" spans="4:4" ht="15.75" customHeight="1" x14ac:dyDescent="0.25">
      <c r="D398" s="81"/>
    </row>
    <row r="399" spans="4:4" ht="15.75" customHeight="1" x14ac:dyDescent="0.25">
      <c r="D399" s="81"/>
    </row>
    <row r="400" spans="4:4" ht="15.75" customHeight="1" x14ac:dyDescent="0.25">
      <c r="D400" s="81"/>
    </row>
    <row r="401" spans="4:4" ht="15.75" customHeight="1" x14ac:dyDescent="0.25">
      <c r="D401" s="81"/>
    </row>
    <row r="402" spans="4:4" ht="15.75" customHeight="1" x14ac:dyDescent="0.25">
      <c r="D402" s="81"/>
    </row>
    <row r="403" spans="4:4" ht="15.75" customHeight="1" x14ac:dyDescent="0.25">
      <c r="D403" s="81"/>
    </row>
    <row r="404" spans="4:4" ht="15.75" customHeight="1" x14ac:dyDescent="0.25">
      <c r="D404" s="81"/>
    </row>
    <row r="405" spans="4:4" ht="15.75" customHeight="1" x14ac:dyDescent="0.25">
      <c r="D405" s="81"/>
    </row>
    <row r="406" spans="4:4" ht="15.75" customHeight="1" x14ac:dyDescent="0.25">
      <c r="D406" s="81"/>
    </row>
    <row r="407" spans="4:4" ht="15.75" customHeight="1" x14ac:dyDescent="0.25">
      <c r="D407" s="81"/>
    </row>
    <row r="408" spans="4:4" ht="15.75" customHeight="1" x14ac:dyDescent="0.25">
      <c r="D408" s="81"/>
    </row>
    <row r="409" spans="4:4" ht="15.75" customHeight="1" x14ac:dyDescent="0.25">
      <c r="D409" s="81"/>
    </row>
    <row r="410" spans="4:4" ht="15.75" customHeight="1" x14ac:dyDescent="0.25">
      <c r="D410" s="81"/>
    </row>
    <row r="411" spans="4:4" ht="15.75" customHeight="1" x14ac:dyDescent="0.25">
      <c r="D411" s="81"/>
    </row>
    <row r="412" spans="4:4" ht="15.75" customHeight="1" x14ac:dyDescent="0.25">
      <c r="D412" s="81"/>
    </row>
    <row r="413" spans="4:4" ht="15.75" customHeight="1" x14ac:dyDescent="0.25">
      <c r="D413" s="81"/>
    </row>
    <row r="414" spans="4:4" ht="15.75" customHeight="1" x14ac:dyDescent="0.25">
      <c r="D414" s="81"/>
    </row>
    <row r="415" spans="4:4" ht="15.75" customHeight="1" x14ac:dyDescent="0.25">
      <c r="D415" s="81"/>
    </row>
    <row r="416" spans="4:4" ht="15.75" customHeight="1" x14ac:dyDescent="0.25">
      <c r="D416" s="81"/>
    </row>
    <row r="417" spans="4:4" ht="15.75" customHeight="1" x14ac:dyDescent="0.25">
      <c r="D417" s="81"/>
    </row>
    <row r="418" spans="4:4" ht="15.75" customHeight="1" x14ac:dyDescent="0.25">
      <c r="D418" s="81"/>
    </row>
    <row r="419" spans="4:4" ht="15.75" customHeight="1" x14ac:dyDescent="0.25">
      <c r="D419" s="81"/>
    </row>
    <row r="420" spans="4:4" ht="15.75" customHeight="1" x14ac:dyDescent="0.25">
      <c r="D420" s="81"/>
    </row>
    <row r="421" spans="4:4" ht="15.75" customHeight="1" x14ac:dyDescent="0.25">
      <c r="D421" s="81"/>
    </row>
    <row r="422" spans="4:4" ht="15.75" customHeight="1" x14ac:dyDescent="0.25">
      <c r="D422" s="81"/>
    </row>
    <row r="423" spans="4:4" ht="15.75" customHeight="1" x14ac:dyDescent="0.25">
      <c r="D423" s="81"/>
    </row>
    <row r="424" spans="4:4" ht="15.75" customHeight="1" x14ac:dyDescent="0.25">
      <c r="D424" s="81"/>
    </row>
    <row r="425" spans="4:4" ht="15.75" customHeight="1" x14ac:dyDescent="0.25">
      <c r="D425" s="81"/>
    </row>
    <row r="426" spans="4:4" ht="15.75" customHeight="1" x14ac:dyDescent="0.25">
      <c r="D426" s="81"/>
    </row>
    <row r="427" spans="4:4" ht="15.75" customHeight="1" x14ac:dyDescent="0.25">
      <c r="D427" s="81"/>
    </row>
    <row r="428" spans="4:4" ht="15.75" customHeight="1" x14ac:dyDescent="0.25">
      <c r="D428" s="81"/>
    </row>
    <row r="429" spans="4:4" ht="15.75" customHeight="1" x14ac:dyDescent="0.25">
      <c r="D429" s="81"/>
    </row>
    <row r="430" spans="4:4" ht="15.75" customHeight="1" x14ac:dyDescent="0.25">
      <c r="D430" s="81"/>
    </row>
    <row r="431" spans="4:4" ht="15.75" customHeight="1" x14ac:dyDescent="0.25">
      <c r="D431" s="81"/>
    </row>
    <row r="432" spans="4:4" ht="15.75" customHeight="1" x14ac:dyDescent="0.25">
      <c r="D432" s="81"/>
    </row>
    <row r="433" spans="4:4" ht="15.75" customHeight="1" x14ac:dyDescent="0.25">
      <c r="D433" s="81"/>
    </row>
    <row r="434" spans="4:4" ht="15.75" customHeight="1" x14ac:dyDescent="0.25">
      <c r="D434" s="81"/>
    </row>
    <row r="435" spans="4:4" ht="15.75" customHeight="1" x14ac:dyDescent="0.25">
      <c r="D435" s="81"/>
    </row>
    <row r="436" spans="4:4" ht="15.75" customHeight="1" x14ac:dyDescent="0.25">
      <c r="D436" s="81"/>
    </row>
    <row r="437" spans="4:4" ht="15.75" customHeight="1" x14ac:dyDescent="0.25">
      <c r="D437" s="81"/>
    </row>
    <row r="438" spans="4:4" ht="15.75" customHeight="1" x14ac:dyDescent="0.25">
      <c r="D438" s="81"/>
    </row>
    <row r="439" spans="4:4" ht="15.75" customHeight="1" x14ac:dyDescent="0.25">
      <c r="D439" s="81"/>
    </row>
    <row r="440" spans="4:4" ht="15.75" customHeight="1" x14ac:dyDescent="0.25">
      <c r="D440" s="81"/>
    </row>
    <row r="441" spans="4:4" ht="15.75" customHeight="1" x14ac:dyDescent="0.25">
      <c r="D441" s="81"/>
    </row>
    <row r="442" spans="4:4" ht="15.75" customHeight="1" x14ac:dyDescent="0.25">
      <c r="D442" s="81"/>
    </row>
    <row r="443" spans="4:4" ht="15.75" customHeight="1" x14ac:dyDescent="0.25">
      <c r="D443" s="81"/>
    </row>
    <row r="444" spans="4:4" ht="15.75" customHeight="1" x14ac:dyDescent="0.25">
      <c r="D444" s="81"/>
    </row>
    <row r="445" spans="4:4" ht="15.75" customHeight="1" x14ac:dyDescent="0.25">
      <c r="D445" s="81"/>
    </row>
    <row r="446" spans="4:4" ht="15.75" customHeight="1" x14ac:dyDescent="0.25">
      <c r="D446" s="81"/>
    </row>
    <row r="447" spans="4:4" ht="15.75" customHeight="1" x14ac:dyDescent="0.25">
      <c r="D447" s="81"/>
    </row>
    <row r="448" spans="4:4" ht="15.75" customHeight="1" x14ac:dyDescent="0.25">
      <c r="D448" s="81"/>
    </row>
    <row r="449" spans="4:4" ht="15.75" customHeight="1" x14ac:dyDescent="0.25">
      <c r="D449" s="81"/>
    </row>
    <row r="450" spans="4:4" ht="15.75" customHeight="1" x14ac:dyDescent="0.25">
      <c r="D450" s="81"/>
    </row>
    <row r="451" spans="4:4" ht="15.75" customHeight="1" x14ac:dyDescent="0.25">
      <c r="D451" s="81"/>
    </row>
    <row r="452" spans="4:4" ht="15.75" customHeight="1" x14ac:dyDescent="0.25">
      <c r="D452" s="81"/>
    </row>
    <row r="453" spans="4:4" ht="15.75" customHeight="1" x14ac:dyDescent="0.25">
      <c r="D453" s="81"/>
    </row>
    <row r="454" spans="4:4" ht="15.75" customHeight="1" x14ac:dyDescent="0.25">
      <c r="D454" s="81"/>
    </row>
    <row r="455" spans="4:4" ht="15.75" customHeight="1" x14ac:dyDescent="0.25">
      <c r="D455" s="81"/>
    </row>
    <row r="456" spans="4:4" ht="15.75" customHeight="1" x14ac:dyDescent="0.25">
      <c r="D456" s="81"/>
    </row>
    <row r="457" spans="4:4" ht="15.75" customHeight="1" x14ac:dyDescent="0.25"/>
    <row r="458" spans="4:4" ht="15.75" customHeight="1" x14ac:dyDescent="0.25"/>
    <row r="459" spans="4:4" ht="15.75" customHeight="1" x14ac:dyDescent="0.25"/>
    <row r="460" spans="4:4" ht="15.75" customHeight="1" x14ac:dyDescent="0.25"/>
    <row r="461" spans="4:4" ht="15.75" customHeight="1" x14ac:dyDescent="0.25"/>
    <row r="462" spans="4:4" ht="15.75" customHeight="1" x14ac:dyDescent="0.25"/>
    <row r="463" spans="4:4" ht="15.75" customHeight="1" x14ac:dyDescent="0.25"/>
    <row r="464" spans="4: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G9"/>
  <sheetViews>
    <sheetView workbookViewId="0"/>
  </sheetViews>
  <sheetFormatPr defaultColWidth="12.6640625" defaultRowHeight="15" customHeight="1" x14ac:dyDescent="0.25"/>
  <cols>
    <col min="1" max="1" width="14.109375" customWidth="1"/>
    <col min="4" max="4" width="16.88671875" customWidth="1"/>
    <col min="6" max="6" width="37.6640625" customWidth="1"/>
  </cols>
  <sheetData>
    <row r="1" spans="1:7" ht="15" customHeight="1" x14ac:dyDescent="0.25">
      <c r="A1" s="2" t="s">
        <v>306</v>
      </c>
      <c r="B1" s="2" t="s">
        <v>307</v>
      </c>
      <c r="C1" s="2" t="s">
        <v>308</v>
      </c>
      <c r="D1" s="2" t="s">
        <v>309</v>
      </c>
      <c r="E1" s="2" t="s">
        <v>310</v>
      </c>
      <c r="F1" s="2" t="s">
        <v>311</v>
      </c>
    </row>
    <row r="2" spans="1:7" ht="15" customHeight="1" x14ac:dyDescent="0.25">
      <c r="A2" s="2" t="s">
        <v>312</v>
      </c>
      <c r="B2" s="82">
        <v>109.9</v>
      </c>
      <c r="C2" s="2">
        <v>2</v>
      </c>
      <c r="D2" s="2" t="s">
        <v>313</v>
      </c>
      <c r="E2" s="82">
        <f t="shared" ref="E2:E7" si="0">B2*C2</f>
        <v>219.8</v>
      </c>
      <c r="F2" s="2" t="s">
        <v>314</v>
      </c>
      <c r="G2" s="83" t="s">
        <v>315</v>
      </c>
    </row>
    <row r="3" spans="1:7" ht="15" customHeight="1" x14ac:dyDescent="0.25">
      <c r="A3" s="2" t="s">
        <v>316</v>
      </c>
      <c r="B3" s="82">
        <v>79.989999999999995</v>
      </c>
      <c r="C3" s="2">
        <v>2</v>
      </c>
      <c r="D3" s="2" t="s">
        <v>313</v>
      </c>
      <c r="E3" s="82">
        <f t="shared" si="0"/>
        <v>159.97999999999999</v>
      </c>
      <c r="F3" s="2" t="s">
        <v>317</v>
      </c>
      <c r="G3" s="83" t="s">
        <v>318</v>
      </c>
    </row>
    <row r="4" spans="1:7" ht="15" customHeight="1" x14ac:dyDescent="0.25">
      <c r="A4" s="2" t="s">
        <v>319</v>
      </c>
      <c r="B4" s="82">
        <v>85</v>
      </c>
      <c r="C4" s="2">
        <v>4</v>
      </c>
      <c r="E4" s="82">
        <f t="shared" si="0"/>
        <v>340</v>
      </c>
      <c r="F4" s="2" t="s">
        <v>320</v>
      </c>
      <c r="G4" s="83" t="s">
        <v>321</v>
      </c>
    </row>
    <row r="5" spans="1:7" ht="15" customHeight="1" x14ac:dyDescent="0.25">
      <c r="A5" s="2" t="s">
        <v>322</v>
      </c>
      <c r="B5" s="82">
        <v>71.900000000000006</v>
      </c>
      <c r="C5" s="2">
        <v>1</v>
      </c>
      <c r="D5" s="2" t="s">
        <v>323</v>
      </c>
      <c r="E5" s="82">
        <f t="shared" si="0"/>
        <v>71.900000000000006</v>
      </c>
      <c r="F5" s="2" t="s">
        <v>324</v>
      </c>
      <c r="G5" s="83" t="s">
        <v>325</v>
      </c>
    </row>
    <row r="6" spans="1:7" ht="15" customHeight="1" x14ac:dyDescent="0.25">
      <c r="A6" s="2" t="s">
        <v>326</v>
      </c>
      <c r="B6" s="82">
        <v>5.99</v>
      </c>
      <c r="C6" s="2">
        <v>1</v>
      </c>
      <c r="D6" s="2" t="s">
        <v>327</v>
      </c>
      <c r="E6" s="82">
        <f t="shared" si="0"/>
        <v>5.99</v>
      </c>
      <c r="F6" s="2" t="s">
        <v>328</v>
      </c>
      <c r="G6" s="83" t="s">
        <v>329</v>
      </c>
    </row>
    <row r="7" spans="1:7" ht="15" customHeight="1" x14ac:dyDescent="0.25">
      <c r="A7" s="2" t="s">
        <v>330</v>
      </c>
      <c r="B7" s="82">
        <v>5.99</v>
      </c>
      <c r="C7" s="2">
        <v>1</v>
      </c>
      <c r="D7" s="2" t="s">
        <v>327</v>
      </c>
      <c r="E7" s="82">
        <f t="shared" si="0"/>
        <v>5.99</v>
      </c>
      <c r="F7" s="2" t="s">
        <v>328</v>
      </c>
      <c r="G7" s="83" t="s">
        <v>331</v>
      </c>
    </row>
    <row r="8" spans="1:7" ht="15" customHeight="1" x14ac:dyDescent="0.25">
      <c r="B8" s="82"/>
    </row>
    <row r="9" spans="1:7" ht="15" customHeight="1" x14ac:dyDescent="0.25">
      <c r="D9" s="1" t="s">
        <v>332</v>
      </c>
      <c r="E9" s="82">
        <f>SUM(E2:E8)</f>
        <v>803.66</v>
      </c>
    </row>
  </sheetData>
  <hyperlinks>
    <hyperlink ref="G2" r:id="rId1" xr:uid="{00000000-0004-0000-0800-000000000000}"/>
    <hyperlink ref="G3" r:id="rId2" xr:uid="{00000000-0004-0000-0800-000001000000}"/>
    <hyperlink ref="G4" r:id="rId3" xr:uid="{00000000-0004-0000-0800-000002000000}"/>
    <hyperlink ref="G5" r:id="rId4" xr:uid="{00000000-0004-0000-0800-000003000000}"/>
    <hyperlink ref="G6" r:id="rId5" xr:uid="{00000000-0004-0000-0800-000004000000}"/>
    <hyperlink ref="G7" r:id="rId6" xr:uid="{00000000-0004-0000-0800-000005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3"/>
  <sheetViews>
    <sheetView workbookViewId="0"/>
  </sheetViews>
  <sheetFormatPr defaultColWidth="12.6640625" defaultRowHeight="15" customHeight="1" x14ac:dyDescent="0.25"/>
  <cols>
    <col min="2" max="2" width="17.77734375" customWidth="1"/>
    <col min="3" max="3" width="13.88671875" customWidth="1"/>
    <col min="4" max="4" width="17.77734375" customWidth="1"/>
    <col min="5" max="5" width="13.88671875" customWidth="1"/>
    <col min="6" max="6" width="4.77734375" customWidth="1"/>
    <col min="8" max="8" width="16.21875" customWidth="1"/>
    <col min="9" max="9" width="18.33203125" customWidth="1"/>
  </cols>
  <sheetData>
    <row r="1" spans="1:26" ht="15" customHeight="1" x14ac:dyDescent="0.25">
      <c r="A1" s="2" t="s">
        <v>333</v>
      </c>
      <c r="B1" s="2" t="s">
        <v>334</v>
      </c>
      <c r="C1" s="2" t="s">
        <v>335</v>
      </c>
      <c r="D1" s="2" t="s">
        <v>336</v>
      </c>
      <c r="E1" s="2" t="s">
        <v>337</v>
      </c>
      <c r="F1" s="2" t="s">
        <v>307</v>
      </c>
      <c r="G1" s="2" t="s">
        <v>338</v>
      </c>
      <c r="H1" s="2" t="s">
        <v>339</v>
      </c>
      <c r="I1" s="2" t="s">
        <v>340</v>
      </c>
      <c r="J1" s="2" t="s">
        <v>341</v>
      </c>
    </row>
    <row r="2" spans="1:26" ht="15" customHeight="1" x14ac:dyDescent="0.25">
      <c r="A2" s="2">
        <v>1</v>
      </c>
      <c r="B2" s="2" t="s">
        <v>342</v>
      </c>
      <c r="C2" s="2">
        <v>925</v>
      </c>
      <c r="D2" s="2">
        <v>5</v>
      </c>
      <c r="E2" s="2">
        <v>0.28999999999999998</v>
      </c>
      <c r="F2" s="2">
        <v>90</v>
      </c>
      <c r="H2">
        <f t="shared" ref="H2:H13" si="0">C2/E2</f>
        <v>3189.6551724137935</v>
      </c>
      <c r="J2" s="83" t="s">
        <v>343</v>
      </c>
    </row>
    <row r="3" spans="1:26" ht="15" customHeight="1" x14ac:dyDescent="0.25">
      <c r="A3" s="2">
        <v>2</v>
      </c>
      <c r="B3" s="2" t="s">
        <v>344</v>
      </c>
      <c r="C3" s="2">
        <v>925</v>
      </c>
      <c r="D3" s="2">
        <v>4</v>
      </c>
      <c r="E3" s="2">
        <v>0.19800000000000001</v>
      </c>
      <c r="H3">
        <f t="shared" si="0"/>
        <v>4671.7171717171714</v>
      </c>
    </row>
    <row r="4" spans="1:26" ht="15" customHeight="1" x14ac:dyDescent="0.25">
      <c r="A4" s="2">
        <v>3</v>
      </c>
      <c r="B4" s="2" t="s">
        <v>345</v>
      </c>
      <c r="C4" s="2">
        <v>1110</v>
      </c>
      <c r="D4" s="2">
        <v>5</v>
      </c>
      <c r="E4" s="2">
        <v>0.26800000000000002</v>
      </c>
      <c r="H4">
        <f t="shared" si="0"/>
        <v>4141.7910447761187</v>
      </c>
      <c r="J4" s="83" t="s">
        <v>346</v>
      </c>
    </row>
    <row r="5" spans="1:26" ht="15" customHeight="1" x14ac:dyDescent="0.25">
      <c r="A5" s="2">
        <v>4</v>
      </c>
      <c r="B5" s="2" t="s">
        <v>347</v>
      </c>
      <c r="C5" s="2">
        <v>800</v>
      </c>
      <c r="E5" s="2">
        <v>0.317</v>
      </c>
      <c r="H5">
        <f t="shared" si="0"/>
        <v>2523.6593059936909</v>
      </c>
    </row>
    <row r="6" spans="1:26" ht="15" customHeight="1" x14ac:dyDescent="0.25">
      <c r="A6" s="2">
        <v>5</v>
      </c>
      <c r="B6" s="2" t="s">
        <v>348</v>
      </c>
      <c r="C6" s="2">
        <v>1180</v>
      </c>
      <c r="E6" s="2">
        <v>0.29599999999999999</v>
      </c>
      <c r="F6" s="2">
        <v>149.9</v>
      </c>
      <c r="H6">
        <f t="shared" si="0"/>
        <v>3986.4864864864867</v>
      </c>
    </row>
    <row r="7" spans="1:26" ht="15" customHeight="1" x14ac:dyDescent="0.25">
      <c r="A7" s="2">
        <v>6</v>
      </c>
      <c r="B7" s="2" t="s">
        <v>349</v>
      </c>
      <c r="C7" s="2">
        <v>3000</v>
      </c>
      <c r="E7" s="2">
        <v>0.81499999999999995</v>
      </c>
      <c r="F7" s="2">
        <v>349.9</v>
      </c>
      <c r="H7">
        <f t="shared" si="0"/>
        <v>3680.9815950920247</v>
      </c>
    </row>
    <row r="8" spans="1:26" ht="15" customHeight="1" x14ac:dyDescent="0.25">
      <c r="A8" s="2">
        <v>7</v>
      </c>
      <c r="B8" s="2" t="s">
        <v>350</v>
      </c>
      <c r="C8" s="2">
        <v>1300</v>
      </c>
      <c r="E8" s="2">
        <v>0.22500000000000001</v>
      </c>
      <c r="F8" s="2">
        <v>110</v>
      </c>
      <c r="H8">
        <f t="shared" si="0"/>
        <v>5777.7777777777774</v>
      </c>
    </row>
    <row r="9" spans="1:26" ht="15" customHeight="1" x14ac:dyDescent="0.25">
      <c r="A9" s="84"/>
      <c r="B9" s="84" t="s">
        <v>351</v>
      </c>
      <c r="C9" s="84">
        <v>1200</v>
      </c>
      <c r="D9" s="84"/>
      <c r="E9" s="84">
        <v>0.22500000000000001</v>
      </c>
      <c r="F9" s="84"/>
      <c r="G9" s="84"/>
      <c r="H9" s="84">
        <f t="shared" si="0"/>
        <v>5333.333333333333</v>
      </c>
      <c r="I9" s="84" t="s">
        <v>352</v>
      </c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5" customHeight="1" x14ac:dyDescent="0.25">
      <c r="A10" s="84"/>
      <c r="B10" s="84" t="s">
        <v>353</v>
      </c>
      <c r="C10" s="84">
        <v>1100</v>
      </c>
      <c r="D10" s="84"/>
      <c r="E10" s="84">
        <v>0.33900000000000002</v>
      </c>
      <c r="F10" s="84">
        <v>79</v>
      </c>
      <c r="G10" s="84"/>
      <c r="H10" s="84">
        <f t="shared" si="0"/>
        <v>3244.837758112094</v>
      </c>
      <c r="I10" s="84"/>
      <c r="J10" s="84"/>
      <c r="K10" s="84" t="s">
        <v>354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5" customHeight="1" x14ac:dyDescent="0.25">
      <c r="H11" t="e">
        <f t="shared" si="0"/>
        <v>#DIV/0!</v>
      </c>
    </row>
    <row r="12" spans="1:26" ht="15" customHeight="1" x14ac:dyDescent="0.25">
      <c r="H12" t="e">
        <f t="shared" si="0"/>
        <v>#DIV/0!</v>
      </c>
    </row>
    <row r="13" spans="1:26" ht="15" customHeight="1" x14ac:dyDescent="0.25">
      <c r="H13" t="e">
        <f t="shared" si="0"/>
        <v>#DIV/0!</v>
      </c>
    </row>
  </sheetData>
  <hyperlinks>
    <hyperlink ref="J2" r:id="rId1" xr:uid="{00000000-0004-0000-0900-000000000000}"/>
    <hyperlink ref="J4" r:id="rId2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2"/>
  <sheetViews>
    <sheetView workbookViewId="0"/>
  </sheetViews>
  <sheetFormatPr defaultColWidth="12.6640625" defaultRowHeight="15" customHeight="1" x14ac:dyDescent="0.25"/>
  <cols>
    <col min="5" max="5" width="14.77734375" customWidth="1"/>
  </cols>
  <sheetData>
    <row r="1" spans="1:5" ht="15" customHeight="1" x14ac:dyDescent="0.25">
      <c r="A1" s="2" t="s">
        <v>355</v>
      </c>
      <c r="B1" s="2" t="s">
        <v>356</v>
      </c>
      <c r="C1" s="2" t="s">
        <v>357</v>
      </c>
      <c r="D1" s="2" t="s">
        <v>302</v>
      </c>
      <c r="E1" s="2" t="s">
        <v>358</v>
      </c>
    </row>
    <row r="2" spans="1:5" ht="15" customHeight="1" x14ac:dyDescent="0.25">
      <c r="A2" s="2">
        <f t="shared" ref="A2:A12" si="0">B2/1000</f>
        <v>0.97299999999999998</v>
      </c>
      <c r="B2" s="2">
        <v>973</v>
      </c>
      <c r="C2">
        <f t="shared" ref="C2:C12" si="1">B2/101.97</f>
        <v>9.542022163381386</v>
      </c>
      <c r="D2" s="2">
        <v>115.79</v>
      </c>
      <c r="E2">
        <f>('Systems Param+Perf'!$C$4*((A2)^2)+'Systems Param+Perf'!$C$5*((A2))+'Systems Param+Perf'!$C6)</f>
        <v>117.14142529999999</v>
      </c>
    </row>
    <row r="3" spans="1:5" ht="15" customHeight="1" x14ac:dyDescent="0.25">
      <c r="A3" s="2">
        <f t="shared" si="0"/>
        <v>1.169</v>
      </c>
      <c r="B3" s="2">
        <v>1169</v>
      </c>
      <c r="C3">
        <f t="shared" si="1"/>
        <v>11.4641561243503</v>
      </c>
      <c r="D3" s="2">
        <v>150.66</v>
      </c>
      <c r="E3">
        <f>('Systems Param+Perf'!$C$4*((A3)^2)+'Systems Param+Perf'!$C$5*((A3))+'Systems Param+Perf'!$C7)</f>
        <v>156.24182769999999</v>
      </c>
    </row>
    <row r="4" spans="1:5" ht="15" customHeight="1" x14ac:dyDescent="0.25">
      <c r="A4" s="2">
        <f t="shared" si="0"/>
        <v>1.4079999999999999</v>
      </c>
      <c r="B4" s="2">
        <v>1408</v>
      </c>
      <c r="C4">
        <f t="shared" si="1"/>
        <v>13.807982740021576</v>
      </c>
      <c r="D4" s="2">
        <v>190.74</v>
      </c>
      <c r="E4">
        <f>('Systems Param+Perf'!$C$4*((A4)^2)+'Systems Param+Perf'!$C$5*((A4))+'Systems Param+Perf'!$C8)</f>
        <v>195.24116480000001</v>
      </c>
    </row>
    <row r="5" spans="1:5" ht="15" customHeight="1" x14ac:dyDescent="0.25">
      <c r="A5" s="2">
        <f t="shared" si="0"/>
        <v>1.6890000000000001</v>
      </c>
      <c r="B5" s="2">
        <v>1689</v>
      </c>
      <c r="C5">
        <f t="shared" si="1"/>
        <v>16.563695204471905</v>
      </c>
      <c r="D5" s="2">
        <v>250.13</v>
      </c>
      <c r="E5">
        <f>('Systems Param+Perf'!$C$4*((A5)^2)+'Systems Param+Perf'!$C$5*((A5))+'Systems Param+Perf'!$C9)</f>
        <v>251.14973970000003</v>
      </c>
    </row>
    <row r="6" spans="1:5" ht="15" customHeight="1" x14ac:dyDescent="0.25">
      <c r="A6" s="2">
        <f t="shared" si="0"/>
        <v>1.954</v>
      </c>
      <c r="B6" s="2">
        <v>1954</v>
      </c>
      <c r="C6">
        <f t="shared" si="1"/>
        <v>19.16249877414926</v>
      </c>
      <c r="D6" s="2">
        <v>305.98</v>
      </c>
      <c r="E6">
        <f>('Systems Param+Perf'!$C$4*((A6)^2)+'Systems Param+Perf'!$C$5*((A6))+'Systems Param+Perf'!$C10)</f>
        <v>309.0403412</v>
      </c>
    </row>
    <row r="7" spans="1:5" ht="15" customHeight="1" x14ac:dyDescent="0.25">
      <c r="A7" s="2">
        <f t="shared" si="0"/>
        <v>2.2469999999999999</v>
      </c>
      <c r="B7" s="2">
        <v>2247</v>
      </c>
      <c r="C7">
        <f t="shared" si="1"/>
        <v>22.035892909679319</v>
      </c>
      <c r="D7" s="2">
        <v>376.74</v>
      </c>
      <c r="E7">
        <f>('Systems Param+Perf'!$C$4*((A7)^2)+'Systems Param+Perf'!$C$5*((A7))+'Systems Param+Perf'!$C11)</f>
        <v>414.58442129999997</v>
      </c>
    </row>
    <row r="8" spans="1:5" ht="15" customHeight="1" x14ac:dyDescent="0.25">
      <c r="A8" s="2">
        <f t="shared" si="0"/>
        <v>2.5289999999999999</v>
      </c>
      <c r="B8" s="2">
        <v>2529</v>
      </c>
      <c r="C8">
        <f t="shared" si="1"/>
        <v>24.801412180052957</v>
      </c>
      <c r="D8" s="2">
        <v>450.36</v>
      </c>
      <c r="E8">
        <f>('Systems Param+Perf'!$C$4*((A8)^2)+'Systems Param+Perf'!$C$5*((A8))+'Systems Param+Perf'!$C12)</f>
        <v>540.29512369999998</v>
      </c>
    </row>
    <row r="9" spans="1:5" ht="15" customHeight="1" x14ac:dyDescent="0.25">
      <c r="A9" s="2">
        <f t="shared" si="0"/>
        <v>2.863</v>
      </c>
      <c r="B9" s="2">
        <v>2863</v>
      </c>
      <c r="C9">
        <f t="shared" si="1"/>
        <v>28.076885358438759</v>
      </c>
      <c r="D9" s="2">
        <v>544.29999999999995</v>
      </c>
      <c r="E9">
        <f>('Systems Param+Perf'!$C$4*((A9)^2)+'Systems Param+Perf'!$C$5*((A9))+'Systems Param+Perf'!$C13)</f>
        <v>543.04385330000002</v>
      </c>
    </row>
    <row r="10" spans="1:5" ht="15" customHeight="1" x14ac:dyDescent="0.25">
      <c r="A10" s="2">
        <f t="shared" si="0"/>
        <v>3.2160000000000002</v>
      </c>
      <c r="B10" s="2">
        <v>3216</v>
      </c>
      <c r="C10">
        <f t="shared" si="1"/>
        <v>31.538687849367463</v>
      </c>
      <c r="D10" s="2">
        <v>644.83000000000004</v>
      </c>
      <c r="E10">
        <f>('Systems Param+Perf'!$C$4*((A10)^2)+'Systems Param+Perf'!$C$5*((A10))+'Systems Param+Perf'!$C14)</f>
        <v>657.6432192000002</v>
      </c>
    </row>
    <row r="11" spans="1:5" ht="15" customHeight="1" x14ac:dyDescent="0.25">
      <c r="A11" s="2">
        <f t="shared" si="0"/>
        <v>3.7869999999999999</v>
      </c>
      <c r="B11" s="2">
        <v>3787</v>
      </c>
      <c r="C11">
        <f t="shared" si="1"/>
        <v>37.138374031577918</v>
      </c>
      <c r="D11" s="2">
        <v>843.54</v>
      </c>
      <c r="E11">
        <f>('Systems Param+Perf'!$C$4*((A11)^2)+'Systems Param+Perf'!$C$5*((A11))+'Systems Param+Perf'!$C15)</f>
        <v>846.75767330000008</v>
      </c>
    </row>
    <row r="12" spans="1:5" ht="15" customHeight="1" x14ac:dyDescent="0.25">
      <c r="A12" s="2">
        <f t="shared" si="0"/>
        <v>4.1159999999999997</v>
      </c>
      <c r="B12" s="2">
        <v>4116</v>
      </c>
      <c r="C12">
        <f t="shared" si="1"/>
        <v>40.364813180347163</v>
      </c>
      <c r="D12" s="2">
        <v>966.63</v>
      </c>
      <c r="E12">
        <f>('Systems Param+Perf'!$C$4*((A12)^2)+'Systems Param+Perf'!$C$5*((A12))+'Systems Param+Perf'!$C16)</f>
        <v>968.66437919999998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Levers</vt:lpstr>
      <vt:lpstr>Aircraft W+B</vt:lpstr>
      <vt:lpstr>Systems Param+Perf</vt:lpstr>
      <vt:lpstr>Aerodynamic Perf</vt:lpstr>
      <vt:lpstr>Performance Calculator</vt:lpstr>
      <vt:lpstr>Requirements</vt:lpstr>
      <vt:lpstr>Cruise Trends</vt:lpstr>
      <vt:lpstr>Post-Hover Cruise Trends</vt:lpstr>
      <vt:lpstr>Purchasing Sheet</vt:lpstr>
      <vt:lpstr>Motor Options</vt:lpstr>
      <vt:lpstr>Forward Motor Static Thrust 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Gunderman</dc:creator>
  <cp:lastModifiedBy>Michael Gunderman</cp:lastModifiedBy>
  <dcterms:created xsi:type="dcterms:W3CDTF">2024-07-05T15:45:29Z</dcterms:created>
  <dcterms:modified xsi:type="dcterms:W3CDTF">2024-07-05T15:45:38Z</dcterms:modified>
</cp:coreProperties>
</file>