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nde\Documents\Projects\webPortfolio\projects\Edge 540\"/>
    </mc:Choice>
  </mc:AlternateContent>
  <xr:revisionPtr revIDLastSave="0" documentId="13_ncr:1_{AD165B1E-0C28-4F00-A97A-192248E5112B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Old Material Testing" sheetId="6" r:id="rId1"/>
    <sheet name="Initial Sizing" sheetId="1" r:id="rId2"/>
    <sheet name="Material Properties" sheetId="4" r:id="rId3"/>
    <sheet name="Mass Breakdown" sheetId="7" r:id="rId4"/>
    <sheet name="Progressive Analysis" sheetId="8" r:id="rId5"/>
    <sheet name="Drag Polar" sheetId="12" r:id="rId6"/>
    <sheet name="Estimated Inertias" sheetId="11" r:id="rId7"/>
    <sheet name="Cost Breakdown" sheetId="10" r:id="rId8"/>
    <sheet name="New Stress Hand-Calcs" sheetId="9" r:id="rId9"/>
    <sheet name="Wing Stress" sheetId="13" r:id="rId10"/>
  </sheets>
  <calcPr calcId="191029"/>
</workbook>
</file>

<file path=xl/calcChain.xml><?xml version="1.0" encoding="utf-8"?>
<calcChain xmlns="http://schemas.openxmlformats.org/spreadsheetml/2006/main">
  <c r="F15" i="9" l="1"/>
  <c r="C106" i="7"/>
  <c r="D11" i="11"/>
  <c r="E11" i="11"/>
  <c r="F11" i="11"/>
  <c r="C11" i="11"/>
  <c r="C58" i="12"/>
  <c r="F83" i="12"/>
  <c r="G83" i="12" s="1"/>
  <c r="F84" i="12"/>
  <c r="G84" i="12" s="1"/>
  <c r="F85" i="12"/>
  <c r="G85" i="12" s="1"/>
  <c r="F86" i="12"/>
  <c r="G86" i="12" s="1"/>
  <c r="F87" i="12"/>
  <c r="G87" i="12" s="1"/>
  <c r="F88" i="12"/>
  <c r="F89" i="12"/>
  <c r="F90" i="12"/>
  <c r="G90" i="12" s="1"/>
  <c r="F91" i="12"/>
  <c r="G91" i="12" s="1"/>
  <c r="F62" i="12"/>
  <c r="G62" i="12" s="1"/>
  <c r="F63" i="12"/>
  <c r="G63" i="12" s="1"/>
  <c r="F64" i="12"/>
  <c r="G64" i="12" s="1"/>
  <c r="F65" i="12"/>
  <c r="F66" i="12"/>
  <c r="G66" i="12" s="1"/>
  <c r="F67" i="12"/>
  <c r="F68" i="12"/>
  <c r="G68" i="12" s="1"/>
  <c r="F69" i="12"/>
  <c r="G69" i="12" s="1"/>
  <c r="F70" i="12"/>
  <c r="F71" i="12"/>
  <c r="G71" i="12" s="1"/>
  <c r="F72" i="12"/>
  <c r="G72" i="12" s="1"/>
  <c r="F73" i="12"/>
  <c r="F74" i="12"/>
  <c r="G74" i="12" s="1"/>
  <c r="F75" i="12"/>
  <c r="F76" i="12"/>
  <c r="G76" i="12" s="1"/>
  <c r="F77" i="12"/>
  <c r="G77" i="12" s="1"/>
  <c r="F78" i="12"/>
  <c r="G78" i="12" s="1"/>
  <c r="F79" i="12"/>
  <c r="G79" i="12" s="1"/>
  <c r="F80" i="12"/>
  <c r="G80" i="12" s="1"/>
  <c r="F81" i="12"/>
  <c r="F82" i="12"/>
  <c r="G82" i="12" s="1"/>
  <c r="G89" i="12"/>
  <c r="G88" i="12"/>
  <c r="G81" i="12"/>
  <c r="G75" i="12"/>
  <c r="G73" i="12"/>
  <c r="G70" i="12"/>
  <c r="G67" i="12"/>
  <c r="G65" i="12"/>
  <c r="G12" i="12"/>
  <c r="G21" i="12"/>
  <c r="G22" i="12"/>
  <c r="G23" i="12"/>
  <c r="G24" i="12"/>
  <c r="G29" i="12"/>
  <c r="G30" i="12"/>
  <c r="G37" i="12"/>
  <c r="G38" i="12"/>
  <c r="F12" i="12"/>
  <c r="F13" i="12"/>
  <c r="G13" i="12" s="1"/>
  <c r="F14" i="12"/>
  <c r="G14" i="12" s="1"/>
  <c r="F15" i="12"/>
  <c r="G15" i="12" s="1"/>
  <c r="F16" i="12"/>
  <c r="G16" i="12" s="1"/>
  <c r="F17" i="12"/>
  <c r="G17" i="12" s="1"/>
  <c r="F18" i="12"/>
  <c r="G18" i="12" s="1"/>
  <c r="F19" i="12"/>
  <c r="G19" i="12" s="1"/>
  <c r="F20" i="12"/>
  <c r="G20" i="12" s="1"/>
  <c r="F21" i="12"/>
  <c r="F22" i="12"/>
  <c r="F23" i="12"/>
  <c r="F24" i="12"/>
  <c r="F25" i="12"/>
  <c r="G25" i="12" s="1"/>
  <c r="F26" i="12"/>
  <c r="G26" i="12" s="1"/>
  <c r="F27" i="12"/>
  <c r="G27" i="12" s="1"/>
  <c r="F28" i="12"/>
  <c r="G28" i="12" s="1"/>
  <c r="F29" i="12"/>
  <c r="F30" i="12"/>
  <c r="F31" i="12"/>
  <c r="G31" i="12" s="1"/>
  <c r="F32" i="12"/>
  <c r="G32" i="12" s="1"/>
  <c r="F33" i="12"/>
  <c r="G33" i="12" s="1"/>
  <c r="F34" i="12"/>
  <c r="G34" i="12" s="1"/>
  <c r="F35" i="12"/>
  <c r="G35" i="12" s="1"/>
  <c r="F36" i="12"/>
  <c r="G36" i="12" s="1"/>
  <c r="F37" i="12"/>
  <c r="F38" i="12"/>
  <c r="F39" i="12"/>
  <c r="G39" i="12" s="1"/>
  <c r="F40" i="12"/>
  <c r="G40" i="12" s="1"/>
  <c r="F11" i="12"/>
  <c r="G11" i="12" s="1"/>
  <c r="C7" i="12"/>
  <c r="O38" i="8"/>
  <c r="D43" i="7"/>
  <c r="E43" i="7"/>
  <c r="I43" i="7"/>
  <c r="H34" i="8"/>
  <c r="I124" i="7"/>
  <c r="R124" i="7" s="1"/>
  <c r="I123" i="7"/>
  <c r="R123" i="7" s="1"/>
  <c r="I122" i="7"/>
  <c r="S122" i="7" s="1"/>
  <c r="H126" i="7"/>
  <c r="H36" i="8"/>
  <c r="H32" i="8"/>
  <c r="I32" i="8" s="1"/>
  <c r="H28" i="8"/>
  <c r="H26" i="8"/>
  <c r="I119" i="7"/>
  <c r="R119" i="7" s="1"/>
  <c r="I120" i="7"/>
  <c r="Q120" i="7" s="1"/>
  <c r="I121" i="7"/>
  <c r="R121" i="7" s="1"/>
  <c r="I125" i="7"/>
  <c r="S125" i="7" s="1"/>
  <c r="I118" i="7"/>
  <c r="R118" i="7" s="1"/>
  <c r="D5" i="11"/>
  <c r="E5" i="11"/>
  <c r="F5" i="11"/>
  <c r="C5" i="11"/>
  <c r="D135" i="8"/>
  <c r="F135" i="8" s="1"/>
  <c r="D75" i="8"/>
  <c r="F75" i="8" s="1"/>
  <c r="I111" i="7"/>
  <c r="I110" i="7"/>
  <c r="I109" i="7"/>
  <c r="I108" i="7"/>
  <c r="S108" i="7" s="1"/>
  <c r="I107" i="7"/>
  <c r="Q107" i="7" s="1"/>
  <c r="I106" i="7"/>
  <c r="Q106" i="7" s="1"/>
  <c r="I105" i="7"/>
  <c r="S105" i="7" s="1"/>
  <c r="I104" i="7"/>
  <c r="S104" i="7" s="1"/>
  <c r="Q121" i="7" l="1"/>
  <c r="Q118" i="7"/>
  <c r="R120" i="7"/>
  <c r="R125" i="7"/>
  <c r="Q104" i="7"/>
  <c r="S123" i="7"/>
  <c r="R104" i="7"/>
  <c r="Q123" i="7"/>
  <c r="R105" i="7"/>
  <c r="S121" i="7"/>
  <c r="Q119" i="7"/>
  <c r="R122" i="7"/>
  <c r="S118" i="7"/>
  <c r="R108" i="7"/>
  <c r="Q125" i="7"/>
  <c r="Q122" i="7"/>
  <c r="S107" i="7"/>
  <c r="Q105" i="7"/>
  <c r="S124" i="7"/>
  <c r="R107" i="7"/>
  <c r="Q108" i="7"/>
  <c r="Q124" i="7"/>
  <c r="S119" i="7"/>
  <c r="S120" i="7"/>
  <c r="R106" i="7"/>
  <c r="S106" i="7"/>
  <c r="I126" i="7"/>
  <c r="I112" i="7"/>
  <c r="I114" i="7" s="1"/>
  <c r="I30" i="8" s="1"/>
  <c r="H30" i="8" s="1"/>
  <c r="S126" i="7" l="1"/>
  <c r="R126" i="7"/>
  <c r="Q126" i="7"/>
  <c r="E90" i="7"/>
  <c r="B90" i="7"/>
  <c r="D90" i="7" s="1"/>
  <c r="E81" i="7"/>
  <c r="E84" i="7"/>
  <c r="F84" i="7" s="1"/>
  <c r="I84" i="7" s="1"/>
  <c r="E83" i="7"/>
  <c r="E85" i="7"/>
  <c r="E86" i="7"/>
  <c r="E87" i="7"/>
  <c r="E88" i="7"/>
  <c r="E89" i="7"/>
  <c r="D97" i="7"/>
  <c r="F97" i="7" s="1"/>
  <c r="I97" i="7" s="1"/>
  <c r="D96" i="7"/>
  <c r="F96" i="7" s="1"/>
  <c r="I96" i="7" s="1"/>
  <c r="D95" i="7"/>
  <c r="F95" i="7" s="1"/>
  <c r="I95" i="7" s="1"/>
  <c r="D94" i="7"/>
  <c r="F94" i="7" s="1"/>
  <c r="I94" i="7" s="1"/>
  <c r="D93" i="7"/>
  <c r="F93" i="7" s="1"/>
  <c r="I93" i="7" s="1"/>
  <c r="D92" i="7"/>
  <c r="F92" i="7" s="1"/>
  <c r="I92" i="7" s="1"/>
  <c r="D91" i="7"/>
  <c r="F91" i="7" s="1"/>
  <c r="I91" i="7" s="1"/>
  <c r="D89" i="7"/>
  <c r="D88" i="7"/>
  <c r="B87" i="7"/>
  <c r="D87" i="7" s="1"/>
  <c r="D86" i="7"/>
  <c r="D85" i="7"/>
  <c r="D83" i="7"/>
  <c r="E82" i="7"/>
  <c r="D82" i="7"/>
  <c r="D81" i="7"/>
  <c r="E80" i="7"/>
  <c r="D80" i="7"/>
  <c r="E79" i="7"/>
  <c r="D79" i="7"/>
  <c r="E78" i="7"/>
  <c r="D78" i="7"/>
  <c r="D24" i="8"/>
  <c r="E24" i="8" s="1"/>
  <c r="D64" i="7"/>
  <c r="E63" i="7"/>
  <c r="E64" i="7"/>
  <c r="E57" i="7"/>
  <c r="D57" i="7"/>
  <c r="E60" i="7"/>
  <c r="E59" i="7"/>
  <c r="F59" i="7" s="1"/>
  <c r="I59" i="7" s="1"/>
  <c r="B62" i="7"/>
  <c r="D62" i="7" s="1"/>
  <c r="D56" i="7"/>
  <c r="E62" i="7"/>
  <c r="E61" i="7"/>
  <c r="E54" i="7"/>
  <c r="E55" i="7"/>
  <c r="E56" i="7"/>
  <c r="E58" i="7"/>
  <c r="F58" i="7" s="1"/>
  <c r="I58" i="7" s="1"/>
  <c r="E52" i="7"/>
  <c r="E53" i="7"/>
  <c r="D72" i="7"/>
  <c r="F72" i="7" s="1"/>
  <c r="D71" i="7"/>
  <c r="F71" i="7" s="1"/>
  <c r="D70" i="7"/>
  <c r="F70" i="7" s="1"/>
  <c r="D69" i="7"/>
  <c r="D68" i="7"/>
  <c r="F68" i="7" s="1"/>
  <c r="D67" i="7"/>
  <c r="F67" i="7" s="1"/>
  <c r="D66" i="7"/>
  <c r="F66" i="7" s="1"/>
  <c r="D65" i="7"/>
  <c r="D63" i="7"/>
  <c r="F63" i="7" s="1"/>
  <c r="D61" i="7"/>
  <c r="D60" i="7"/>
  <c r="D55" i="7"/>
  <c r="D54" i="7"/>
  <c r="D53" i="7"/>
  <c r="D52" i="7"/>
  <c r="I44" i="7"/>
  <c r="I42" i="7"/>
  <c r="F45" i="7"/>
  <c r="I45" i="7" s="1"/>
  <c r="D20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" i="10"/>
  <c r="Q93" i="7" l="1"/>
  <c r="R93" i="7"/>
  <c r="S93" i="7"/>
  <c r="R94" i="7"/>
  <c r="Q94" i="7"/>
  <c r="S94" i="7"/>
  <c r="Q95" i="7"/>
  <c r="R95" i="7"/>
  <c r="S95" i="7"/>
  <c r="Q84" i="7"/>
  <c r="R84" i="7"/>
  <c r="S84" i="7"/>
  <c r="Q96" i="7"/>
  <c r="R96" i="7"/>
  <c r="S96" i="7"/>
  <c r="Q91" i="7"/>
  <c r="R91" i="7"/>
  <c r="S91" i="7"/>
  <c r="Q92" i="7"/>
  <c r="R92" i="7"/>
  <c r="S92" i="7"/>
  <c r="F62" i="7"/>
  <c r="I62" i="7" s="1"/>
  <c r="F57" i="7"/>
  <c r="I57" i="7" s="1"/>
  <c r="F78" i="7"/>
  <c r="I78" i="7" s="1"/>
  <c r="F82" i="7"/>
  <c r="I82" i="7" s="1"/>
  <c r="F64" i="7"/>
  <c r="I64" i="7" s="1"/>
  <c r="F79" i="7"/>
  <c r="I79" i="7" s="1"/>
  <c r="F60" i="7"/>
  <c r="I60" i="7" s="1"/>
  <c r="F80" i="7"/>
  <c r="I80" i="7" s="1"/>
  <c r="F90" i="7"/>
  <c r="I90" i="7" s="1"/>
  <c r="F81" i="7"/>
  <c r="I81" i="7" s="1"/>
  <c r="F83" i="7"/>
  <c r="I83" i="7" s="1"/>
  <c r="F87" i="7"/>
  <c r="I87" i="7" s="1"/>
  <c r="F88" i="7"/>
  <c r="I88" i="7" s="1"/>
  <c r="F89" i="7"/>
  <c r="I89" i="7" s="1"/>
  <c r="F85" i="7"/>
  <c r="I85" i="7" s="1"/>
  <c r="I66" i="7"/>
  <c r="F65" i="7"/>
  <c r="I65" i="7" s="1"/>
  <c r="I67" i="7"/>
  <c r="F86" i="7"/>
  <c r="I86" i="7" s="1"/>
  <c r="I68" i="7"/>
  <c r="F69" i="7"/>
  <c r="I69" i="7" s="1"/>
  <c r="I71" i="7"/>
  <c r="I70" i="7"/>
  <c r="I63" i="7"/>
  <c r="I72" i="7"/>
  <c r="F56" i="7"/>
  <c r="I56" i="7" s="1"/>
  <c r="F61" i="7"/>
  <c r="I61" i="7" s="1"/>
  <c r="F54" i="7"/>
  <c r="I54" i="7" s="1"/>
  <c r="F52" i="7"/>
  <c r="I52" i="7" s="1"/>
  <c r="F55" i="7"/>
  <c r="I55" i="7" s="1"/>
  <c r="F53" i="7"/>
  <c r="I53" i="7" s="1"/>
  <c r="I47" i="7"/>
  <c r="D26" i="10"/>
  <c r="I91" i="8"/>
  <c r="F24" i="8"/>
  <c r="O34" i="8"/>
  <c r="I49" i="7" l="1"/>
  <c r="I18" i="8" s="1"/>
  <c r="H18" i="8" s="1"/>
  <c r="F46" i="7"/>
  <c r="Q89" i="7"/>
  <c r="R89" i="7"/>
  <c r="S89" i="7"/>
  <c r="S82" i="7"/>
  <c r="Q82" i="7"/>
  <c r="R82" i="7"/>
  <c r="R86" i="7"/>
  <c r="Q86" i="7"/>
  <c r="S86" i="7"/>
  <c r="Q83" i="7"/>
  <c r="S83" i="7"/>
  <c r="R83" i="7"/>
  <c r="R78" i="7"/>
  <c r="Q78" i="7"/>
  <c r="S78" i="7"/>
  <c r="Q81" i="7"/>
  <c r="R81" i="7"/>
  <c r="S81" i="7"/>
  <c r="Q88" i="7"/>
  <c r="R88" i="7"/>
  <c r="S88" i="7"/>
  <c r="S87" i="7"/>
  <c r="Q87" i="7"/>
  <c r="R87" i="7"/>
  <c r="R90" i="7"/>
  <c r="S90" i="7"/>
  <c r="Q90" i="7"/>
  <c r="Q80" i="7"/>
  <c r="R80" i="7"/>
  <c r="S80" i="7"/>
  <c r="Q85" i="7"/>
  <c r="R85" i="7"/>
  <c r="S85" i="7"/>
  <c r="S79" i="7"/>
  <c r="Q79" i="7"/>
  <c r="R79" i="7"/>
  <c r="I98" i="7"/>
  <c r="K100" i="7" s="1"/>
  <c r="I24" i="8" s="1"/>
  <c r="H24" i="8" s="1"/>
  <c r="I73" i="7"/>
  <c r="I75" i="7" s="1"/>
  <c r="I22" i="8" s="1"/>
  <c r="H22" i="8" s="1"/>
  <c r="J24" i="8" l="1"/>
  <c r="I36" i="8"/>
  <c r="I34" i="8"/>
  <c r="I28" i="8"/>
  <c r="I26" i="8" l="1"/>
  <c r="B17" i="9"/>
  <c r="B14" i="9"/>
  <c r="B18" i="9"/>
  <c r="F14" i="9" l="1"/>
  <c r="B10" i="9" l="1"/>
  <c r="B6" i="9"/>
  <c r="B19" i="9"/>
  <c r="C7" i="9"/>
  <c r="B7" i="9"/>
  <c r="B8" i="9"/>
  <c r="B66" i="8"/>
  <c r="B20" i="9" l="1"/>
  <c r="B21" i="9" s="1"/>
  <c r="C6" i="9"/>
  <c r="C8" i="9" l="1"/>
  <c r="D129" i="8"/>
  <c r="F129" i="8" s="1"/>
  <c r="D126" i="8"/>
  <c r="D111" i="8"/>
  <c r="B125" i="8"/>
  <c r="D125" i="8" s="1"/>
  <c r="I35" i="7"/>
  <c r="I37" i="7" s="1"/>
  <c r="I39" i="7" s="1"/>
  <c r="B113" i="8"/>
  <c r="D113" i="8" s="1"/>
  <c r="H100" i="8"/>
  <c r="D92" i="8"/>
  <c r="D90" i="8"/>
  <c r="B69" i="8"/>
  <c r="B65" i="8"/>
  <c r="B63" i="8"/>
  <c r="B56" i="8"/>
  <c r="F22" i="8"/>
  <c r="J22" i="8" s="1"/>
  <c r="D22" i="8"/>
  <c r="G22" i="8" s="1"/>
  <c r="M18" i="8"/>
  <c r="L18" i="8"/>
  <c r="B14" i="8"/>
  <c r="B13" i="8"/>
  <c r="D11" i="8"/>
  <c r="B11" i="8" s="1"/>
  <c r="D10" i="8"/>
  <c r="B10" i="8" s="1"/>
  <c r="D9" i="8"/>
  <c r="B8" i="8"/>
  <c r="B7" i="8"/>
  <c r="D5" i="8"/>
  <c r="E17" i="7"/>
  <c r="E14" i="7"/>
  <c r="B14" i="7"/>
  <c r="D14" i="7" s="1"/>
  <c r="E15" i="7"/>
  <c r="E12" i="7"/>
  <c r="D13" i="7"/>
  <c r="D15" i="7"/>
  <c r="D16" i="7"/>
  <c r="F16" i="7" s="1"/>
  <c r="I16" i="7" s="1"/>
  <c r="D17" i="7"/>
  <c r="D18" i="7"/>
  <c r="F18" i="7" s="1"/>
  <c r="I18" i="7" s="1"/>
  <c r="D19" i="7"/>
  <c r="F19" i="7" s="1"/>
  <c r="I19" i="7" s="1"/>
  <c r="D20" i="7"/>
  <c r="F20" i="7" s="1"/>
  <c r="I20" i="7" s="1"/>
  <c r="D21" i="7"/>
  <c r="F21" i="7" s="1"/>
  <c r="I21" i="7" s="1"/>
  <c r="D22" i="7"/>
  <c r="F22" i="7" s="1"/>
  <c r="I22" i="7" s="1"/>
  <c r="D23" i="7"/>
  <c r="F23" i="7" s="1"/>
  <c r="I23" i="7" s="1"/>
  <c r="D24" i="7"/>
  <c r="F24" i="7" s="1"/>
  <c r="I24" i="7" s="1"/>
  <c r="D25" i="7"/>
  <c r="F25" i="7" s="1"/>
  <c r="I25" i="7" s="1"/>
  <c r="D12" i="7"/>
  <c r="D6" i="7"/>
  <c r="D8" i="7"/>
  <c r="D9" i="7"/>
  <c r="E6" i="7"/>
  <c r="E7" i="7"/>
  <c r="E8" i="7"/>
  <c r="E9" i="7"/>
  <c r="E10" i="7"/>
  <c r="E11" i="7"/>
  <c r="F11" i="7" s="1"/>
  <c r="I11" i="7" s="1"/>
  <c r="D7" i="7"/>
  <c r="E13" i="7"/>
  <c r="Q18" i="7" l="1"/>
  <c r="R18" i="7"/>
  <c r="S18" i="7"/>
  <c r="Q25" i="7"/>
  <c r="R25" i="7"/>
  <c r="S25" i="7"/>
  <c r="Q24" i="7"/>
  <c r="S24" i="7"/>
  <c r="R24" i="7"/>
  <c r="Q16" i="7"/>
  <c r="S16" i="7"/>
  <c r="R16" i="7"/>
  <c r="R23" i="7"/>
  <c r="S23" i="7"/>
  <c r="Q23" i="7"/>
  <c r="Q22" i="7"/>
  <c r="R22" i="7"/>
  <c r="S22" i="7"/>
  <c r="Q21" i="7"/>
  <c r="R21" i="7"/>
  <c r="S21" i="7"/>
  <c r="S20" i="7"/>
  <c r="Q20" i="7"/>
  <c r="R20" i="7"/>
  <c r="Q11" i="7"/>
  <c r="R11" i="7"/>
  <c r="S11" i="7"/>
  <c r="Q19" i="7"/>
  <c r="S19" i="7"/>
  <c r="R19" i="7"/>
  <c r="D18" i="8"/>
  <c r="G18" i="8" s="1"/>
  <c r="F6" i="7"/>
  <c r="I6" i="7" s="1"/>
  <c r="F8" i="7"/>
  <c r="I8" i="7" s="1"/>
  <c r="F10" i="7"/>
  <c r="I10" i="7" s="1"/>
  <c r="F7" i="7"/>
  <c r="I7" i="7" s="1"/>
  <c r="B128" i="8"/>
  <c r="F125" i="8"/>
  <c r="B114" i="8"/>
  <c r="F9" i="7"/>
  <c r="I9" i="7" s="1"/>
  <c r="F14" i="7"/>
  <c r="I14" i="7" s="1"/>
  <c r="F15" i="7"/>
  <c r="I15" i="7" s="1"/>
  <c r="B93" i="8"/>
  <c r="B94" i="8" s="1"/>
  <c r="F90" i="8"/>
  <c r="B68" i="8"/>
  <c r="F111" i="8"/>
  <c r="B67" i="8"/>
  <c r="F17" i="7"/>
  <c r="I17" i="7" s="1"/>
  <c r="F13" i="7"/>
  <c r="I13" i="7" s="1"/>
  <c r="F12" i="7"/>
  <c r="I12" i="7" s="1"/>
  <c r="B111" i="1"/>
  <c r="D111" i="1" s="1"/>
  <c r="D109" i="1"/>
  <c r="F109" i="1" s="1"/>
  <c r="H98" i="1"/>
  <c r="D90" i="1"/>
  <c r="D88" i="1"/>
  <c r="B91" i="1" s="1"/>
  <c r="B92" i="1" s="1"/>
  <c r="R6" i="7" l="1"/>
  <c r="Q6" i="7"/>
  <c r="S6" i="7"/>
  <c r="Q7" i="7"/>
  <c r="R7" i="7"/>
  <c r="S7" i="7"/>
  <c r="R15" i="7"/>
  <c r="S15" i="7"/>
  <c r="Q15" i="7"/>
  <c r="S9" i="7"/>
  <c r="Q9" i="7"/>
  <c r="R9" i="7"/>
  <c r="Q17" i="7"/>
  <c r="R17" i="7"/>
  <c r="S17" i="7"/>
  <c r="R12" i="7"/>
  <c r="S12" i="7"/>
  <c r="Q12" i="7"/>
  <c r="Q10" i="7"/>
  <c r="R10" i="7"/>
  <c r="S10" i="7"/>
  <c r="Q13" i="7"/>
  <c r="R13" i="7"/>
  <c r="S13" i="7"/>
  <c r="Q14" i="7"/>
  <c r="R14" i="7"/>
  <c r="S14" i="7"/>
  <c r="R8" i="7"/>
  <c r="Q8" i="7"/>
  <c r="S8" i="7"/>
  <c r="E18" i="8"/>
  <c r="I26" i="7"/>
  <c r="I28" i="7" s="1"/>
  <c r="I20" i="8" s="1"/>
  <c r="H20" i="8" s="1"/>
  <c r="H38" i="8" s="1"/>
  <c r="B112" i="1"/>
  <c r="F88" i="1"/>
  <c r="C41" i="8" l="1"/>
  <c r="H41" i="8"/>
  <c r="F18" i="8"/>
  <c r="J18" i="8" s="1"/>
  <c r="B137" i="8"/>
  <c r="D137" i="8" s="1"/>
  <c r="B138" i="8" s="1"/>
  <c r="B77" i="8"/>
  <c r="D77" i="8" s="1"/>
  <c r="B78" i="8" s="1"/>
  <c r="K36" i="8"/>
  <c r="K34" i="8"/>
  <c r="K32" i="8"/>
  <c r="K18" i="8"/>
  <c r="K20" i="8"/>
  <c r="K30" i="8"/>
  <c r="K28" i="8"/>
  <c r="K22" i="8"/>
  <c r="K26" i="8"/>
  <c r="J38" i="8"/>
  <c r="K24" i="8"/>
  <c r="B79" i="8" l="1"/>
  <c r="B83" i="8" s="1"/>
  <c r="B84" i="8" s="1"/>
  <c r="B23" i="9"/>
  <c r="H39" i="8"/>
  <c r="B115" i="8"/>
  <c r="B119" i="8" l="1"/>
  <c r="B116" i="8"/>
  <c r="B117" i="8" s="1"/>
  <c r="B80" i="8"/>
  <c r="B81" i="8" s="1"/>
  <c r="D75" i="1"/>
  <c r="D73" i="1"/>
  <c r="B76" i="1" l="1"/>
  <c r="F73" i="1"/>
  <c r="B111" i="6"/>
  <c r="B113" i="6" s="1"/>
  <c r="B100" i="6"/>
  <c r="B101" i="6" s="1"/>
  <c r="B102" i="6" s="1"/>
  <c r="B88" i="6" l="1"/>
  <c r="B89" i="6" s="1"/>
  <c r="D89" i="6" s="1"/>
  <c r="F89" i="6" s="1"/>
  <c r="B82" i="6"/>
  <c r="B78" i="6"/>
  <c r="D76" i="6"/>
  <c r="D75" i="6"/>
  <c r="B67" i="6"/>
  <c r="B68" i="6" s="1"/>
  <c r="D68" i="6" s="1"/>
  <c r="F68" i="6" s="1"/>
  <c r="B61" i="6"/>
  <c r="B57" i="6"/>
  <c r="D55" i="6"/>
  <c r="D54" i="6"/>
  <c r="B33" i="6"/>
  <c r="B43" i="6"/>
  <c r="B44" i="6" s="1"/>
  <c r="D44" i="6" s="1"/>
  <c r="F44" i="6" s="1"/>
  <c r="B37" i="6"/>
  <c r="D31" i="6"/>
  <c r="D30" i="6"/>
  <c r="B18" i="6"/>
  <c r="B19" i="6" s="1"/>
  <c r="D19" i="6" s="1"/>
  <c r="F19" i="6" s="1"/>
  <c r="B12" i="6"/>
  <c r="D5" i="6"/>
  <c r="D6" i="6"/>
  <c r="B8" i="6"/>
  <c r="B59" i="6" s="1"/>
  <c r="B63" i="6" s="1"/>
  <c r="B79" i="6" l="1"/>
  <c r="B83" i="6" s="1"/>
  <c r="B10" i="6"/>
  <c r="B14" i="6" s="1"/>
  <c r="B9" i="6"/>
  <c r="B13" i="6" s="1"/>
  <c r="B80" i="6"/>
  <c r="B84" i="6" s="1"/>
  <c r="B35" i="6"/>
  <c r="B39" i="6" s="1"/>
  <c r="B34" i="6"/>
  <c r="B38" i="6" s="1"/>
  <c r="B58" i="6"/>
  <c r="B62" i="6" s="1"/>
  <c r="I20" i="1" l="1"/>
  <c r="D40" i="4"/>
  <c r="F40" i="4" s="1"/>
  <c r="D7" i="4"/>
  <c r="F7" i="4" s="1"/>
  <c r="H7" i="4" s="1"/>
  <c r="D80" i="4"/>
  <c r="F80" i="4" s="1"/>
  <c r="H80" i="4" s="1"/>
  <c r="B79" i="4"/>
  <c r="D79" i="4" s="1"/>
  <c r="D73" i="4"/>
  <c r="F73" i="4" s="1"/>
  <c r="H73" i="4" s="1"/>
  <c r="B72" i="4"/>
  <c r="D72" i="4" s="1"/>
  <c r="D66" i="4"/>
  <c r="F66" i="4" s="1"/>
  <c r="H66" i="4" s="1"/>
  <c r="B65" i="4"/>
  <c r="D65" i="4" s="1"/>
  <c r="D58" i="4"/>
  <c r="B57" i="4"/>
  <c r="D57" i="4" s="1"/>
  <c r="D48" i="4"/>
  <c r="B47" i="4"/>
  <c r="D47" i="4" s="1"/>
  <c r="B38" i="4"/>
  <c r="B39" i="4" s="1"/>
  <c r="D39" i="4" s="1"/>
  <c r="D32" i="4"/>
  <c r="B31" i="4"/>
  <c r="D31" i="4" s="1"/>
  <c r="D24" i="4"/>
  <c r="B23" i="4"/>
  <c r="D23" i="4" s="1"/>
  <c r="B14" i="4"/>
  <c r="B15" i="4" s="1"/>
  <c r="D15" i="4" s="1"/>
  <c r="D16" i="4"/>
  <c r="B6" i="4"/>
  <c r="D6" i="4" s="1"/>
  <c r="H40" i="4" l="1"/>
  <c r="B81" i="4"/>
  <c r="B8" i="4"/>
  <c r="B74" i="4"/>
  <c r="G74" i="4" s="1"/>
  <c r="I74" i="4" s="1"/>
  <c r="B67" i="4"/>
  <c r="G67" i="4" s="1"/>
  <c r="I67" i="4" s="1"/>
  <c r="B59" i="4"/>
  <c r="B49" i="4"/>
  <c r="B41" i="4"/>
  <c r="G41" i="4" s="1"/>
  <c r="I41" i="4" s="1"/>
  <c r="B33" i="4"/>
  <c r="B25" i="4"/>
  <c r="B17" i="4"/>
  <c r="G17" i="4" s="1"/>
  <c r="I17" i="4" s="1"/>
  <c r="G81" i="4" l="1"/>
  <c r="I81" i="4" s="1"/>
  <c r="G8" i="4"/>
  <c r="B64" i="1"/>
  <c r="B54" i="1"/>
  <c r="B63" i="1"/>
  <c r="M18" i="1"/>
  <c r="L18" i="1"/>
  <c r="B61" i="1"/>
  <c r="B67" i="1" l="1"/>
  <c r="B66" i="1"/>
  <c r="I8" i="4"/>
  <c r="B65" i="1"/>
  <c r="B14" i="1"/>
  <c r="D18" i="1"/>
  <c r="B13" i="1"/>
  <c r="D11" i="1"/>
  <c r="B11" i="1" s="1"/>
  <c r="D9" i="1"/>
  <c r="D10" i="1"/>
  <c r="B10" i="1" s="1"/>
  <c r="B8" i="1"/>
  <c r="B7" i="1"/>
  <c r="D5" i="1"/>
  <c r="F22" i="1"/>
  <c r="D22" i="1"/>
  <c r="G22" i="1" s="1"/>
  <c r="E18" i="1" l="1"/>
  <c r="F18" i="1" s="1"/>
  <c r="G18" i="1"/>
  <c r="I18" i="1" l="1"/>
  <c r="H18" i="1" s="1"/>
  <c r="H38" i="1" l="1"/>
  <c r="J38" i="1" l="1"/>
  <c r="B113" i="1" s="1"/>
  <c r="K18" i="1"/>
  <c r="K28" i="1"/>
  <c r="K36" i="1"/>
  <c r="K22" i="1"/>
  <c r="K30" i="1"/>
  <c r="K20" i="1"/>
  <c r="K24" i="1"/>
  <c r="K32" i="1"/>
  <c r="K26" i="1"/>
  <c r="K34" i="1"/>
  <c r="B77" i="1"/>
  <c r="B78" i="1" s="1"/>
  <c r="H39" i="1"/>
  <c r="B114" i="1" l="1"/>
  <c r="B115" i="1" s="1"/>
  <c r="B117" i="1"/>
  <c r="B79" i="1"/>
  <c r="B81" i="1"/>
  <c r="C9" i="9" l="1"/>
  <c r="C10" i="9" s="1"/>
</calcChain>
</file>

<file path=xl/sharedStrings.xml><?xml version="1.0" encoding="utf-8"?>
<sst xmlns="http://schemas.openxmlformats.org/spreadsheetml/2006/main" count="1106" uniqueCount="357">
  <si>
    <t>Edge 540 60:</t>
  </si>
  <si>
    <t>Span: (in)</t>
  </si>
  <si>
    <t>Chord</t>
  </si>
  <si>
    <t>Area: (in^2)</t>
  </si>
  <si>
    <t>Area (ft^2)</t>
  </si>
  <si>
    <t>Aspect Ratio:</t>
  </si>
  <si>
    <t>Est Mass:</t>
  </si>
  <si>
    <t>Weight: (lbs)</t>
  </si>
  <si>
    <t>Target Structure lbs/ft^2</t>
  </si>
  <si>
    <t>Root Chord:</t>
  </si>
  <si>
    <t>Tip Chord:</t>
  </si>
  <si>
    <t>Wing</t>
  </si>
  <si>
    <t>Length</t>
  </si>
  <si>
    <t>Target Mass:</t>
  </si>
  <si>
    <t>Target Weight:</t>
  </si>
  <si>
    <t>Fuselage</t>
  </si>
  <si>
    <t>Includes Motor, Prop, Rudder</t>
  </si>
  <si>
    <t>Mean Chord (in)</t>
  </si>
  <si>
    <t>H-Tail</t>
  </si>
  <si>
    <t>Height: (in)</t>
  </si>
  <si>
    <t>V-Tail</t>
  </si>
  <si>
    <t>Prop:</t>
  </si>
  <si>
    <t>Super Tiger 61</t>
  </si>
  <si>
    <t>12 x 6</t>
  </si>
  <si>
    <t>Flight Battery</t>
  </si>
  <si>
    <t>Landing Gear</t>
  </si>
  <si>
    <t>Fuel tank</t>
  </si>
  <si>
    <t>Servos</t>
  </si>
  <si>
    <t>Cowling</t>
  </si>
  <si>
    <t>Total Mass:</t>
  </si>
  <si>
    <t>kg</t>
  </si>
  <si>
    <t>lbs</t>
  </si>
  <si>
    <t>Wing Loading:</t>
  </si>
  <si>
    <t>Full-Scale Edge 540</t>
  </si>
  <si>
    <t>Wingspan:</t>
  </si>
  <si>
    <t>in</t>
  </si>
  <si>
    <t>Wing Area</t>
  </si>
  <si>
    <t>in^2</t>
  </si>
  <si>
    <t>ft^2</t>
  </si>
  <si>
    <t>Aircraft Length:</t>
  </si>
  <si>
    <t>Aircraft Height:</t>
  </si>
  <si>
    <t>H-Tail Span:</t>
  </si>
  <si>
    <t>H-Tail Area:</t>
  </si>
  <si>
    <t>V-tail Area:</t>
  </si>
  <si>
    <t>V-Tail Height:</t>
  </si>
  <si>
    <t>ft</t>
  </si>
  <si>
    <t>Root Chord</t>
  </si>
  <si>
    <t>Tip Chord</t>
  </si>
  <si>
    <t>Calculated Wing Area</t>
  </si>
  <si>
    <t>Area:</t>
  </si>
  <si>
    <t>Calculated AR:</t>
  </si>
  <si>
    <t>dim.</t>
  </si>
  <si>
    <t>ksi</t>
  </si>
  <si>
    <t>lbf</t>
  </si>
  <si>
    <t>Relevant Parameters</t>
  </si>
  <si>
    <t>Assumed Constant</t>
  </si>
  <si>
    <t>mm</t>
  </si>
  <si>
    <t>Panel_Span</t>
  </si>
  <si>
    <t>Root_Chord</t>
  </si>
  <si>
    <t>Main_Spar_Root_Chord_Rel_Position</t>
  </si>
  <si>
    <t>Main_Spar_Root_Height</t>
  </si>
  <si>
    <t>Main_Spar_Root_flange_Height</t>
  </si>
  <si>
    <t>Main_Spar_Root_flange_Width</t>
  </si>
  <si>
    <t>Main_Spar_Root_web_Thickness</t>
  </si>
  <si>
    <t>Aft_Spar_Root_Width</t>
  </si>
  <si>
    <t>Aft_Spar_Root_Height</t>
  </si>
  <si>
    <t>Main_Spar_tip_Chord_Position</t>
  </si>
  <si>
    <t>Main_Spar_tip_flange_Height</t>
  </si>
  <si>
    <t>ul</t>
  </si>
  <si>
    <t>Main_Spar_tip_flange_Thickness</t>
  </si>
  <si>
    <t>Main_Spar_tip_web_Thickness</t>
  </si>
  <si>
    <t>Aft_Spar_tip_Thickness</t>
  </si>
  <si>
    <t>Aft_Spar_tip_Height</t>
  </si>
  <si>
    <t>Tip_Chord</t>
  </si>
  <si>
    <t>Carbon_Spar_position</t>
  </si>
  <si>
    <t>Carbon_Spar_diameter</t>
  </si>
  <si>
    <t>Carbon_Spar_Wall_Thickness</t>
  </si>
  <si>
    <t>Ply_rib_thickness</t>
  </si>
  <si>
    <t>Rib_Thickness</t>
  </si>
  <si>
    <t>Extra</t>
  </si>
  <si>
    <t>Needs updated?</t>
  </si>
  <si>
    <t>This is currently tied to airfoil thickness. Zero is a filler</t>
  </si>
  <si>
    <t>Could change</t>
  </si>
  <si>
    <t>approximate</t>
  </si>
  <si>
    <t>tbd. Zero is a filler</t>
  </si>
  <si>
    <t>Chord_at_Rib_2</t>
  </si>
  <si>
    <t>Chord_at_CF_rib</t>
  </si>
  <si>
    <t>D_bend_thickness</t>
  </si>
  <si>
    <t>Nose_Piece_Dimensions</t>
  </si>
  <si>
    <t>Chord_at_Rib_3</t>
  </si>
  <si>
    <t>in^3</t>
  </si>
  <si>
    <t>kg/m^3</t>
  </si>
  <si>
    <t>g/cm^3</t>
  </si>
  <si>
    <t>lbm</t>
  </si>
  <si>
    <t>Total:</t>
  </si>
  <si>
    <t>L:</t>
  </si>
  <si>
    <t>W:</t>
  </si>
  <si>
    <t>H:</t>
  </si>
  <si>
    <t>volume:</t>
  </si>
  <si>
    <t>m^3</t>
  </si>
  <si>
    <t>Mass:</t>
  </si>
  <si>
    <t>g</t>
  </si>
  <si>
    <t>Density:</t>
  </si>
  <si>
    <t>Part 1:</t>
  </si>
  <si>
    <t>Part 2:</t>
  </si>
  <si>
    <t>Part 3:</t>
  </si>
  <si>
    <t>Part 4:</t>
  </si>
  <si>
    <t>Craft Ply:</t>
  </si>
  <si>
    <t>lb/ft^3</t>
  </si>
  <si>
    <t>lb/in^3</t>
  </si>
  <si>
    <t>oz/ft^2</t>
  </si>
  <si>
    <t>Quasi-iso Compressive Strength:</t>
  </si>
  <si>
    <t>Quasi-iso Tensile Strength:</t>
  </si>
  <si>
    <t>Shear Strength:</t>
  </si>
  <si>
    <t>Bolt Bearing Strength:</t>
  </si>
  <si>
    <t>Cured density:</t>
  </si>
  <si>
    <t>Extensional Modulus:</t>
  </si>
  <si>
    <t>Msi</t>
  </si>
  <si>
    <t>Shear Modulus</t>
  </si>
  <si>
    <t>Poisson's ratio:</t>
  </si>
  <si>
    <t>BMI Quasi-iso:</t>
  </si>
  <si>
    <t>BMI Unidirectional Weave:</t>
  </si>
  <si>
    <t>MSI</t>
  </si>
  <si>
    <t>Balsa:</t>
  </si>
  <si>
    <t>BMI Carbon Pre-preg:</t>
  </si>
  <si>
    <t>Ult Safety Factor:</t>
  </si>
  <si>
    <t>Yield Safety Factor:</t>
  </si>
  <si>
    <t>Safety Factors:</t>
  </si>
  <si>
    <t>Outer Diameter:</t>
  </si>
  <si>
    <t>Inner Diameter:</t>
  </si>
  <si>
    <t>I:</t>
  </si>
  <si>
    <t>in^4</t>
  </si>
  <si>
    <t>MS:</t>
  </si>
  <si>
    <t>FEM:</t>
  </si>
  <si>
    <t>Hand-Calcs:</t>
  </si>
  <si>
    <t>Stress in CF Spar</t>
  </si>
  <si>
    <t>Ultimate</t>
  </si>
  <si>
    <t>"Yield"</t>
  </si>
  <si>
    <t>Started making cracking sounds</t>
  </si>
  <si>
    <t>Width:</t>
  </si>
  <si>
    <t>Height:</t>
  </si>
  <si>
    <t>Sample 1:</t>
  </si>
  <si>
    <t>Length:</t>
  </si>
  <si>
    <t>Half-length:</t>
  </si>
  <si>
    <t>Internal moment at "Yield"</t>
  </si>
  <si>
    <t>Internal moment at "Ult"</t>
  </si>
  <si>
    <t>in-lbs</t>
  </si>
  <si>
    <t>I think this number is a slight underestimate.</t>
  </si>
  <si>
    <t>Yield Tensile:</t>
  </si>
  <si>
    <t>psi</t>
  </si>
  <si>
    <t>Ult Tensile:</t>
  </si>
  <si>
    <t>Approx mass of sample:</t>
  </si>
  <si>
    <t>Vol of sample:</t>
  </si>
  <si>
    <t>density of sample:</t>
  </si>
  <si>
    <t>g/in^3</t>
  </si>
  <si>
    <t>Density est:</t>
  </si>
  <si>
    <t>Sample 2:</t>
  </si>
  <si>
    <t>Sample 3:</t>
  </si>
  <si>
    <t>Sample 5:</t>
  </si>
  <si>
    <t>Max Force:</t>
  </si>
  <si>
    <t>width:</t>
  </si>
  <si>
    <t>Thickness:</t>
  </si>
  <si>
    <t>Area per side:</t>
  </si>
  <si>
    <t>Total Shear Area:</t>
  </si>
  <si>
    <t>Shear Stress:</t>
  </si>
  <si>
    <t>Double-Shear with the grain:</t>
  </si>
  <si>
    <t>Single-Shear against the grain:</t>
  </si>
  <si>
    <t>Stress:</t>
  </si>
  <si>
    <t>PSI</t>
  </si>
  <si>
    <t>slugs/in^3</t>
  </si>
  <si>
    <t>Air Density</t>
  </si>
  <si>
    <t>V</t>
  </si>
  <si>
    <t>m/s</t>
  </si>
  <si>
    <t>ft/s</t>
  </si>
  <si>
    <t>Cl</t>
  </si>
  <si>
    <t>Lift:</t>
  </si>
  <si>
    <t>g's:</t>
  </si>
  <si>
    <t>Acceleration:</t>
  </si>
  <si>
    <t>ft/s^2</t>
  </si>
  <si>
    <t>Turning Radius:</t>
  </si>
  <si>
    <t>Mass Fraction:</t>
  </si>
  <si>
    <t>mph</t>
  </si>
  <si>
    <t>Very Approximate Wing Bend Moment:</t>
  </si>
  <si>
    <t>Cm</t>
  </si>
  <si>
    <t>lbf-ft</t>
  </si>
  <si>
    <t>including tail</t>
  </si>
  <si>
    <t>Pitching Moment inc tail</t>
  </si>
  <si>
    <t>Dist from CG to h-tail</t>
  </si>
  <si>
    <t>Force on tail:</t>
  </si>
  <si>
    <t>Elevator Lift:</t>
  </si>
  <si>
    <t>Moment, including tail:</t>
  </si>
  <si>
    <t>Fuselage:</t>
  </si>
  <si>
    <t>Aft side beam:</t>
  </si>
  <si>
    <t>Ply Density:</t>
  </si>
  <si>
    <t>Balsa Density:</t>
  </si>
  <si>
    <t>lb/in^12</t>
  </si>
  <si>
    <t>mass:</t>
  </si>
  <si>
    <t>density lb/in^3</t>
  </si>
  <si>
    <t>volume (in^3)</t>
  </si>
  <si>
    <t>Lightening fraction:</t>
  </si>
  <si>
    <t>Final Mass (lb)</t>
  </si>
  <si>
    <t>Bulkhead 1</t>
  </si>
  <si>
    <t>Firewall</t>
  </si>
  <si>
    <t>Bulkhead 2</t>
  </si>
  <si>
    <t>Bulkhead 3</t>
  </si>
  <si>
    <t>Bulkhead 2.5</t>
  </si>
  <si>
    <t>Fuselage Total:</t>
  </si>
  <si>
    <t>Wing Mount:</t>
  </si>
  <si>
    <t>Number:</t>
  </si>
  <si>
    <t>TurtleDeck Sheeting</t>
  </si>
  <si>
    <t>Glue Correction:</t>
  </si>
  <si>
    <t>Fuselage Final:</t>
  </si>
  <si>
    <t>Keel Sheet</t>
  </si>
  <si>
    <t>Access Panel/canopy</t>
  </si>
  <si>
    <t>Top TurtleDeck Support</t>
  </si>
  <si>
    <t>Energy Compartment sheet</t>
  </si>
  <si>
    <t>Est Weight:</t>
  </si>
  <si>
    <t>Inventor Wing:</t>
  </si>
  <si>
    <t>Ailerons</t>
  </si>
  <si>
    <t>Inventor Wing Final:</t>
  </si>
  <si>
    <t>Inventor Wing Total:</t>
  </si>
  <si>
    <t>Area Density lbs/ft^2</t>
  </si>
  <si>
    <t>Est Weight: (lbs)</t>
  </si>
  <si>
    <t>Propulsion Analysis</t>
  </si>
  <si>
    <t>Freestream Velocity:</t>
  </si>
  <si>
    <t>RPM</t>
  </si>
  <si>
    <t>Rev/s</t>
  </si>
  <si>
    <t>Prop Diameter:</t>
  </si>
  <si>
    <t>Advance Ratio, J:</t>
  </si>
  <si>
    <t>Prop Pitch</t>
  </si>
  <si>
    <t>Angle at .75</t>
  </si>
  <si>
    <t>Angle at .75 in deg</t>
  </si>
  <si>
    <t>rpm</t>
  </si>
  <si>
    <t>Carbon Spar Length:</t>
  </si>
  <si>
    <t>Force on Ribs due to wing bending moment:</t>
  </si>
  <si>
    <t>Est Moment (for reference):</t>
  </si>
  <si>
    <t>Big Rectangle Height:</t>
  </si>
  <si>
    <t>Big Rectangle outer width:</t>
  </si>
  <si>
    <t>Small Rectangle inner Height:</t>
  </si>
  <si>
    <t>Small Rectangle inner width:</t>
  </si>
  <si>
    <t>Big Rectangle I:</t>
  </si>
  <si>
    <t>Small Rectange I:</t>
  </si>
  <si>
    <t>Total I:</t>
  </si>
  <si>
    <t>Max Tensile Stress:</t>
  </si>
  <si>
    <t>Full-Scale Edge 540, for reference</t>
  </si>
  <si>
    <t>Expected G-Loading, based on expected mass:</t>
  </si>
  <si>
    <t>Carbon Spar at Wing Root:</t>
  </si>
  <si>
    <t>Wood Spar at Wing Root:</t>
  </si>
  <si>
    <t>ft-lbs</t>
  </si>
  <si>
    <t>Graphene 6S 4000 mah</t>
  </si>
  <si>
    <t>Tiger Motor AT3520 550kv</t>
  </si>
  <si>
    <t>T/W</t>
  </si>
  <si>
    <t>APC 14*7</t>
  </si>
  <si>
    <t>Cost</t>
  </si>
  <si>
    <t>Total Cost:</t>
  </si>
  <si>
    <t>Castle Talon 60A 6S ESC</t>
  </si>
  <si>
    <t>Current Half Structure Mass:</t>
  </si>
  <si>
    <t>UltraCote</t>
  </si>
  <si>
    <t>mass: (kg)</t>
  </si>
  <si>
    <t>Carbon Fiber Spar Mass:</t>
  </si>
  <si>
    <t>Growth Factor:</t>
  </si>
  <si>
    <t>dim</t>
  </si>
  <si>
    <t>Wing Final</t>
  </si>
  <si>
    <t>Mean Chord</t>
  </si>
  <si>
    <t>Pixhawk Mass</t>
  </si>
  <si>
    <t>Cm/Alpha</t>
  </si>
  <si>
    <t>Alpha:</t>
  </si>
  <si>
    <t>Max Up</t>
  </si>
  <si>
    <t>Number</t>
  </si>
  <si>
    <t>Total Cost</t>
  </si>
  <si>
    <t>Price per:</t>
  </si>
  <si>
    <t>Assuming 4 Savox SV-1260MG, which weigh 40g each</t>
  </si>
  <si>
    <t>1.25" Aluminum Servo Arms 25T</t>
  </si>
  <si>
    <t>T-Motor AT3520 500 kv</t>
  </si>
  <si>
    <t>Castle 60A ESC</t>
  </si>
  <si>
    <t>Control Horns</t>
  </si>
  <si>
    <t>Ball Joints</t>
  </si>
  <si>
    <t>4-40 Threaded Rod</t>
  </si>
  <si>
    <t>lb</t>
  </si>
  <si>
    <t>Total Wing Weight:</t>
  </si>
  <si>
    <t>mass (lbm)</t>
  </si>
  <si>
    <t>Final Mass (lbm)</t>
  </si>
  <si>
    <t>Actual Wing:</t>
  </si>
  <si>
    <t>H-Stab and Elevator</t>
  </si>
  <si>
    <t>Structural Root Rib</t>
  </si>
  <si>
    <t>hs rib 1</t>
  </si>
  <si>
    <t>hs rib 2</t>
  </si>
  <si>
    <t>hs rib 3</t>
  </si>
  <si>
    <t>Elevator Root Stub</t>
  </si>
  <si>
    <t>Elevator Structural rib 1</t>
  </si>
  <si>
    <t>Elevator Structural rib 2</t>
  </si>
  <si>
    <t>Elevator tip rib</t>
  </si>
  <si>
    <t>hs spar thing</t>
  </si>
  <si>
    <t>Elevator Spar</t>
  </si>
  <si>
    <t>Thickness: (in)</t>
  </si>
  <si>
    <t>hs leading edge piece</t>
  </si>
  <si>
    <t>Elevator leading edge piece</t>
  </si>
  <si>
    <t>Trailing edge piece</t>
  </si>
  <si>
    <t>H-tail Total:</t>
  </si>
  <si>
    <t>H-tail Final:</t>
  </si>
  <si>
    <t>(hs) Structural Root Rib</t>
  </si>
  <si>
    <t>Rudder tip rib</t>
  </si>
  <si>
    <t>Rudder leading edge piece</t>
  </si>
  <si>
    <t>Rudder Spar</t>
  </si>
  <si>
    <t>vs leading edge piece</t>
  </si>
  <si>
    <t>vs spar thing</t>
  </si>
  <si>
    <t>vs tip rib</t>
  </si>
  <si>
    <t>H-tail locator</t>
  </si>
  <si>
    <t>AT3520 Max Thrust:</t>
  </si>
  <si>
    <t>m/s^2</t>
  </si>
  <si>
    <t>Area is in Ft^2, Density is in grams/ft^2</t>
  </si>
  <si>
    <t>Landing Gear:</t>
  </si>
  <si>
    <t>2.75" Wheel</t>
  </si>
  <si>
    <t>Wheel Mounting Hardware</t>
  </si>
  <si>
    <t>Hobbyking CF Gear Mount</t>
  </si>
  <si>
    <t>1" Tailwheel</t>
  </si>
  <si>
    <t>Expected Drag - This is used in Conjunction with XFLR5</t>
  </si>
  <si>
    <t>Drag:</t>
  </si>
  <si>
    <t>Landing Gear Total:</t>
  </si>
  <si>
    <t xml:space="preserve"> Landing Gear Final:</t>
  </si>
  <si>
    <t>Ixx</t>
  </si>
  <si>
    <t>Ixy</t>
  </si>
  <si>
    <t>Airframe</t>
  </si>
  <si>
    <t>Systems</t>
  </si>
  <si>
    <t>Iyy</t>
  </si>
  <si>
    <t>Izz</t>
  </si>
  <si>
    <t>Overall</t>
  </si>
  <si>
    <t>Missing LH aileron servo, MLG, Tail gear,</t>
  </si>
  <si>
    <t>X CG</t>
  </si>
  <si>
    <t>Y CG</t>
  </si>
  <si>
    <t>Z CG</t>
  </si>
  <si>
    <t>Ixz</t>
  </si>
  <si>
    <t>Systems Components</t>
  </si>
  <si>
    <t>Mass (kg)</t>
  </si>
  <si>
    <t>Final Weight (lb)</t>
  </si>
  <si>
    <t>LH Aileron Servo</t>
  </si>
  <si>
    <t>RH Aileron Servo</t>
  </si>
  <si>
    <t>Elevator Servo</t>
  </si>
  <si>
    <t>Rudder Servo</t>
  </si>
  <si>
    <t>in-lbs CG x</t>
  </si>
  <si>
    <t>in-lbs CG y</t>
  </si>
  <si>
    <t>in-lbs CG z</t>
  </si>
  <si>
    <t>Raven Tailwheel Strut</t>
  </si>
  <si>
    <t>Symmetric Part</t>
  </si>
  <si>
    <t>Aileron Structure</t>
  </si>
  <si>
    <t>before covering</t>
  </si>
  <si>
    <t>Includes aileron servo mounting hardware</t>
  </si>
  <si>
    <t>V-Stab and Rudder</t>
  </si>
  <si>
    <t>Cd</t>
  </si>
  <si>
    <t>Cd0 misc</t>
  </si>
  <si>
    <t>Cd0 wing</t>
  </si>
  <si>
    <t>K</t>
  </si>
  <si>
    <t>L/D</t>
  </si>
  <si>
    <t>According to master Assy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</si>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</sst>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%"/>
    <numFmt numFmtId="166" formatCode="0.000"/>
    <numFmt numFmtId="167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164" fontId="1" fillId="0" borderId="0" xfId="0" applyNumberFormat="1" applyFont="1"/>
    <xf numFmtId="0" fontId="1" fillId="0" borderId="0" xfId="0" applyFont="1"/>
    <xf numFmtId="0" fontId="3" fillId="0" borderId="0" xfId="0" applyFont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  <xf numFmtId="165" fontId="0" fillId="0" borderId="0" xfId="1" applyNumberFormat="1" applyFont="1"/>
    <xf numFmtId="165" fontId="0" fillId="3" borderId="0" xfId="1" applyNumberFormat="1" applyFont="1" applyFill="1"/>
    <xf numFmtId="0" fontId="0" fillId="5" borderId="0" xfId="0" applyFill="1"/>
    <xf numFmtId="0" fontId="1" fillId="6" borderId="0" xfId="0" applyFont="1" applyFill="1"/>
    <xf numFmtId="0" fontId="1" fillId="6" borderId="1" xfId="0" applyFont="1" applyFill="1" applyBorder="1"/>
    <xf numFmtId="0" fontId="0" fillId="6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7" borderId="0" xfId="0" applyFont="1" applyFill="1"/>
    <xf numFmtId="0" fontId="0" fillId="7" borderId="0" xfId="0" applyFill="1"/>
    <xf numFmtId="0" fontId="5" fillId="8" borderId="0" xfId="0" applyFont="1" applyFill="1"/>
    <xf numFmtId="0" fontId="1" fillId="0" borderId="1" xfId="0" applyFont="1" applyBorder="1"/>
    <xf numFmtId="0" fontId="0" fillId="5" borderId="1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6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167" fontId="0" fillId="0" borderId="1" xfId="0" applyNumberFormat="1" applyBorder="1"/>
    <xf numFmtId="166" fontId="0" fillId="0" borderId="1" xfId="0" applyNumberFormat="1" applyBorder="1"/>
    <xf numFmtId="0" fontId="1" fillId="6" borderId="16" xfId="0" applyFont="1" applyFill="1" applyBorder="1"/>
    <xf numFmtId="0" fontId="1" fillId="9" borderId="1" xfId="0" applyFont="1" applyFill="1" applyBorder="1"/>
    <xf numFmtId="0" fontId="0" fillId="9" borderId="1" xfId="0" applyFill="1" applyBorder="1"/>
    <xf numFmtId="166" fontId="0" fillId="9" borderId="1" xfId="0" applyNumberFormat="1" applyFill="1" applyBorder="1"/>
    <xf numFmtId="0" fontId="0" fillId="0" borderId="16" xfId="0" applyBorder="1"/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Drag</a:t>
            </a:r>
            <a:r>
              <a:rPr lang="en-US" baseline="0"/>
              <a:t> Polar at 40 mph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'Drag Polar'!$F$11:$F$40</c:f>
              <c:numCache>
                <c:formatCode>General</c:formatCode>
                <c:ptCount val="30"/>
                <c:pt idx="0">
                  <c:v>7.2157499999999999E-2</c:v>
                </c:pt>
                <c:pt idx="1">
                  <c:v>7.263E-2</c:v>
                </c:pt>
                <c:pt idx="2">
                  <c:v>7.3417499999999997E-2</c:v>
                </c:pt>
                <c:pt idx="3">
                  <c:v>7.4519999999999989E-2</c:v>
                </c:pt>
                <c:pt idx="4">
                  <c:v>7.5937499999999991E-2</c:v>
                </c:pt>
                <c:pt idx="5">
                  <c:v>7.7669999999999989E-2</c:v>
                </c:pt>
                <c:pt idx="6">
                  <c:v>7.9717499999999997E-2</c:v>
                </c:pt>
                <c:pt idx="7">
                  <c:v>8.208E-2</c:v>
                </c:pt>
                <c:pt idx="8">
                  <c:v>8.47575E-2</c:v>
                </c:pt>
                <c:pt idx="9">
                  <c:v>8.7749999999999995E-2</c:v>
                </c:pt>
                <c:pt idx="10">
                  <c:v>9.10575E-2</c:v>
                </c:pt>
                <c:pt idx="11">
                  <c:v>9.4679999999999986E-2</c:v>
                </c:pt>
                <c:pt idx="12">
                  <c:v>9.8617499999999997E-2</c:v>
                </c:pt>
                <c:pt idx="13">
                  <c:v>0.10286999999999999</c:v>
                </c:pt>
                <c:pt idx="14">
                  <c:v>0.10743749999999999</c:v>
                </c:pt>
                <c:pt idx="15">
                  <c:v>0.11232</c:v>
                </c:pt>
                <c:pt idx="16">
                  <c:v>0.1175175</c:v>
                </c:pt>
                <c:pt idx="17">
                  <c:v>0.12303</c:v>
                </c:pt>
                <c:pt idx="18">
                  <c:v>0.12885749999999999</c:v>
                </c:pt>
                <c:pt idx="19">
                  <c:v>0.13500000000000001</c:v>
                </c:pt>
                <c:pt idx="20">
                  <c:v>0.14145750000000001</c:v>
                </c:pt>
                <c:pt idx="21">
                  <c:v>0.14823</c:v>
                </c:pt>
                <c:pt idx="22">
                  <c:v>0.1553175</c:v>
                </c:pt>
                <c:pt idx="23">
                  <c:v>0.16271999999999998</c:v>
                </c:pt>
                <c:pt idx="24">
                  <c:v>0.17043749999999999</c:v>
                </c:pt>
                <c:pt idx="25">
                  <c:v>0.17847000000000002</c:v>
                </c:pt>
                <c:pt idx="26">
                  <c:v>0.18681750000000003</c:v>
                </c:pt>
                <c:pt idx="27">
                  <c:v>0.19547999999999999</c:v>
                </c:pt>
                <c:pt idx="28">
                  <c:v>0.20445750000000001</c:v>
                </c:pt>
                <c:pt idx="29">
                  <c:v>0.21375</c:v>
                </c:pt>
              </c:numCache>
            </c:numRef>
          </c:xVal>
          <c:yVal>
            <c:numRef>
              <c:f>'Drag Polar'!$E$11:$E$40</c:f>
              <c:numCache>
                <c:formatCode>General</c:formatCode>
                <c:ptCount val="3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D-4AFF-BDDB-C91255ACA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950591"/>
        <c:axId val="446951007"/>
      </c:scatterChart>
      <c:valAx>
        <c:axId val="44695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951007"/>
        <c:crosses val="autoZero"/>
        <c:crossBetween val="midCat"/>
      </c:valAx>
      <c:valAx>
        <c:axId val="44695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95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Drag</a:t>
            </a:r>
            <a:r>
              <a:rPr lang="en-US" baseline="0"/>
              <a:t> Polar at ~70 mph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'Drag Polar'!$F$11:$F$40</c:f>
              <c:numCache>
                <c:formatCode>General</c:formatCode>
                <c:ptCount val="30"/>
                <c:pt idx="0">
                  <c:v>7.2157499999999999E-2</c:v>
                </c:pt>
                <c:pt idx="1">
                  <c:v>7.263E-2</c:v>
                </c:pt>
                <c:pt idx="2">
                  <c:v>7.3417499999999997E-2</c:v>
                </c:pt>
                <c:pt idx="3">
                  <c:v>7.4519999999999989E-2</c:v>
                </c:pt>
                <c:pt idx="4">
                  <c:v>7.5937499999999991E-2</c:v>
                </c:pt>
                <c:pt idx="5">
                  <c:v>7.7669999999999989E-2</c:v>
                </c:pt>
                <c:pt idx="6">
                  <c:v>7.9717499999999997E-2</c:v>
                </c:pt>
                <c:pt idx="7">
                  <c:v>8.208E-2</c:v>
                </c:pt>
                <c:pt idx="8">
                  <c:v>8.47575E-2</c:v>
                </c:pt>
                <c:pt idx="9">
                  <c:v>8.7749999999999995E-2</c:v>
                </c:pt>
                <c:pt idx="10">
                  <c:v>9.10575E-2</c:v>
                </c:pt>
                <c:pt idx="11">
                  <c:v>9.4679999999999986E-2</c:v>
                </c:pt>
                <c:pt idx="12">
                  <c:v>9.8617499999999997E-2</c:v>
                </c:pt>
                <c:pt idx="13">
                  <c:v>0.10286999999999999</c:v>
                </c:pt>
                <c:pt idx="14">
                  <c:v>0.10743749999999999</c:v>
                </c:pt>
                <c:pt idx="15">
                  <c:v>0.11232</c:v>
                </c:pt>
                <c:pt idx="16">
                  <c:v>0.1175175</c:v>
                </c:pt>
                <c:pt idx="17">
                  <c:v>0.12303</c:v>
                </c:pt>
                <c:pt idx="18">
                  <c:v>0.12885749999999999</c:v>
                </c:pt>
                <c:pt idx="19">
                  <c:v>0.13500000000000001</c:v>
                </c:pt>
                <c:pt idx="20">
                  <c:v>0.14145750000000001</c:v>
                </c:pt>
                <c:pt idx="21">
                  <c:v>0.14823</c:v>
                </c:pt>
                <c:pt idx="22">
                  <c:v>0.1553175</c:v>
                </c:pt>
                <c:pt idx="23">
                  <c:v>0.16271999999999998</c:v>
                </c:pt>
                <c:pt idx="24">
                  <c:v>0.17043749999999999</c:v>
                </c:pt>
                <c:pt idx="25">
                  <c:v>0.17847000000000002</c:v>
                </c:pt>
                <c:pt idx="26">
                  <c:v>0.18681750000000003</c:v>
                </c:pt>
                <c:pt idx="27">
                  <c:v>0.19547999999999999</c:v>
                </c:pt>
                <c:pt idx="28">
                  <c:v>0.20445750000000001</c:v>
                </c:pt>
                <c:pt idx="29">
                  <c:v>0.21375</c:v>
                </c:pt>
              </c:numCache>
            </c:numRef>
          </c:xVal>
          <c:yVal>
            <c:numRef>
              <c:f>'Drag Polar'!$E$11:$E$40</c:f>
              <c:numCache>
                <c:formatCode>General</c:formatCode>
                <c:ptCount val="3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CD-4D0C-8DB2-AD13434A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950591"/>
        <c:axId val="446951007"/>
      </c:scatterChart>
      <c:valAx>
        <c:axId val="44695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951007"/>
        <c:crosses val="autoZero"/>
        <c:crossBetween val="midCat"/>
      </c:valAx>
      <c:valAx>
        <c:axId val="44695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95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4</xdr:row>
      <xdr:rowOff>99060</xdr:rowOff>
    </xdr:from>
    <xdr:to>
      <xdr:col>15</xdr:col>
      <xdr:colOff>312420</xdr:colOff>
      <xdr:row>19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8C9696-BE9B-4413-9236-3CB9245ED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55</xdr:row>
      <xdr:rowOff>99060</xdr:rowOff>
    </xdr:from>
    <xdr:to>
      <xdr:col>15</xdr:col>
      <xdr:colOff>312420</xdr:colOff>
      <xdr:row>70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EF6315-D46E-47C7-8C25-D6BD1F78A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workbookViewId="0">
      <selection activeCell="B14" sqref="B14"/>
    </sheetView>
  </sheetViews>
  <sheetFormatPr defaultRowHeight="14.4" x14ac:dyDescent="0.3"/>
  <cols>
    <col min="1" max="1" width="25.88671875" bestFit="1" customWidth="1"/>
    <col min="2" max="2" width="14.109375" customWidth="1"/>
  </cols>
  <sheetData>
    <row r="1" spans="1:6" x14ac:dyDescent="0.3">
      <c r="A1" s="5" t="s">
        <v>141</v>
      </c>
    </row>
    <row r="2" spans="1:6" x14ac:dyDescent="0.3">
      <c r="A2" t="s">
        <v>139</v>
      </c>
      <c r="B2">
        <v>0.5</v>
      </c>
      <c r="C2" t="s">
        <v>35</v>
      </c>
    </row>
    <row r="3" spans="1:6" x14ac:dyDescent="0.3">
      <c r="A3" t="s">
        <v>140</v>
      </c>
      <c r="B3">
        <v>0.25</v>
      </c>
      <c r="C3" t="s">
        <v>35</v>
      </c>
    </row>
    <row r="4" spans="1:6" x14ac:dyDescent="0.3">
      <c r="A4" t="s">
        <v>142</v>
      </c>
      <c r="B4">
        <v>6.91</v>
      </c>
      <c r="C4" t="s">
        <v>35</v>
      </c>
    </row>
    <row r="5" spans="1:6" x14ac:dyDescent="0.3">
      <c r="A5" t="s">
        <v>137</v>
      </c>
      <c r="B5">
        <v>1190</v>
      </c>
      <c r="C5" t="s">
        <v>101</v>
      </c>
      <c r="D5">
        <f>(B5/1000)*2.2</f>
        <v>2.6179999999999999</v>
      </c>
      <c r="E5" t="s">
        <v>53</v>
      </c>
      <c r="F5" t="s">
        <v>138</v>
      </c>
    </row>
    <row r="6" spans="1:6" x14ac:dyDescent="0.3">
      <c r="A6" t="s">
        <v>136</v>
      </c>
      <c r="B6">
        <v>1260</v>
      </c>
      <c r="C6" t="s">
        <v>101</v>
      </c>
      <c r="D6">
        <f>(B6/1000)*2.2</f>
        <v>2.7720000000000002</v>
      </c>
      <c r="E6" t="s">
        <v>53</v>
      </c>
      <c r="F6" t="s">
        <v>147</v>
      </c>
    </row>
    <row r="8" spans="1:6" x14ac:dyDescent="0.3">
      <c r="A8" t="s">
        <v>143</v>
      </c>
      <c r="B8">
        <f>B4/2</f>
        <v>3.4550000000000001</v>
      </c>
      <c r="C8" t="s">
        <v>35</v>
      </c>
    </row>
    <row r="9" spans="1:6" x14ac:dyDescent="0.3">
      <c r="A9" t="s">
        <v>144</v>
      </c>
      <c r="B9">
        <f>$B$8*(D5/2)</f>
        <v>4.5225949999999999</v>
      </c>
      <c r="C9" t="s">
        <v>146</v>
      </c>
    </row>
    <row r="10" spans="1:6" x14ac:dyDescent="0.3">
      <c r="A10" t="s">
        <v>145</v>
      </c>
      <c r="B10">
        <f>$B$8*(D6/2)</f>
        <v>4.7886300000000004</v>
      </c>
      <c r="C10" t="s">
        <v>146</v>
      </c>
    </row>
    <row r="12" spans="1:6" x14ac:dyDescent="0.3">
      <c r="A12" t="s">
        <v>130</v>
      </c>
      <c r="B12">
        <f>B2*(B3^3)/12</f>
        <v>6.5104166666666663E-4</v>
      </c>
      <c r="C12" t="s">
        <v>131</v>
      </c>
    </row>
    <row r="13" spans="1:6" x14ac:dyDescent="0.3">
      <c r="A13" t="s">
        <v>148</v>
      </c>
      <c r="B13">
        <f>B9*($B$3/2)/$B$12</f>
        <v>868.33824000000004</v>
      </c>
      <c r="C13" t="s">
        <v>149</v>
      </c>
    </row>
    <row r="14" spans="1:6" x14ac:dyDescent="0.3">
      <c r="A14" t="s">
        <v>150</v>
      </c>
      <c r="B14" s="12">
        <f>B10*($B$3/2)/$B$12</f>
        <v>919.41696000000013</v>
      </c>
      <c r="C14" t="s">
        <v>149</v>
      </c>
    </row>
    <row r="15" spans="1:6" x14ac:dyDescent="0.3">
      <c r="A15" s="5" t="s">
        <v>155</v>
      </c>
    </row>
    <row r="16" spans="1:6" x14ac:dyDescent="0.3">
      <c r="A16" t="s">
        <v>151</v>
      </c>
      <c r="B16">
        <v>7</v>
      </c>
      <c r="C16" t="s">
        <v>101</v>
      </c>
    </row>
    <row r="17" spans="1:13" x14ac:dyDescent="0.3">
      <c r="A17" t="s">
        <v>142</v>
      </c>
      <c r="B17">
        <v>35</v>
      </c>
      <c r="C17" t="s">
        <v>35</v>
      </c>
    </row>
    <row r="18" spans="1:13" x14ac:dyDescent="0.3">
      <c r="A18" t="s">
        <v>152</v>
      </c>
      <c r="B18">
        <f>B2*B3*B17</f>
        <v>4.375</v>
      </c>
      <c r="C18" t="s">
        <v>90</v>
      </c>
    </row>
    <row r="19" spans="1:13" x14ac:dyDescent="0.3">
      <c r="A19" t="s">
        <v>153</v>
      </c>
      <c r="B19">
        <f>B16/B18</f>
        <v>1.6</v>
      </c>
      <c r="C19" t="s">
        <v>154</v>
      </c>
      <c r="D19">
        <f>B19/16.3871</f>
        <v>9.7637776055555903E-2</v>
      </c>
      <c r="E19" t="s">
        <v>92</v>
      </c>
      <c r="F19">
        <f>D19*1000</f>
        <v>97.637776055555904</v>
      </c>
      <c r="G19" t="s">
        <v>91</v>
      </c>
    </row>
    <row r="26" spans="1:13" x14ac:dyDescent="0.3">
      <c r="A26" s="5" t="s">
        <v>156</v>
      </c>
    </row>
    <row r="27" spans="1:13" x14ac:dyDescent="0.3">
      <c r="A27" t="s">
        <v>139</v>
      </c>
      <c r="B27">
        <v>0.5</v>
      </c>
      <c r="C27" t="s">
        <v>35</v>
      </c>
    </row>
    <row r="28" spans="1:13" x14ac:dyDescent="0.3">
      <c r="A28" t="s">
        <v>140</v>
      </c>
      <c r="B28">
        <v>0.25</v>
      </c>
      <c r="C28" t="s">
        <v>35</v>
      </c>
    </row>
    <row r="29" spans="1:13" x14ac:dyDescent="0.3">
      <c r="A29" t="s">
        <v>142</v>
      </c>
      <c r="B29">
        <v>6.875</v>
      </c>
      <c r="C29" t="s">
        <v>35</v>
      </c>
    </row>
    <row r="30" spans="1:13" x14ac:dyDescent="0.3">
      <c r="A30" t="s">
        <v>137</v>
      </c>
      <c r="C30" t="s">
        <v>101</v>
      </c>
      <c r="D30">
        <f>(B30/1000)*2.2</f>
        <v>0</v>
      </c>
      <c r="E30" t="s">
        <v>53</v>
      </c>
      <c r="F30" t="s">
        <v>138</v>
      </c>
      <c r="M30">
        <v>2060</v>
      </c>
    </row>
    <row r="31" spans="1:13" x14ac:dyDescent="0.3">
      <c r="A31" t="s">
        <v>136</v>
      </c>
      <c r="B31">
        <v>2060</v>
      </c>
      <c r="C31" t="s">
        <v>101</v>
      </c>
      <c r="D31">
        <f>(B31/1000)*2.2</f>
        <v>4.5320000000000009</v>
      </c>
      <c r="E31" t="s">
        <v>53</v>
      </c>
      <c r="F31" t="s">
        <v>147</v>
      </c>
    </row>
    <row r="33" spans="1:7" x14ac:dyDescent="0.3">
      <c r="A33" t="s">
        <v>143</v>
      </c>
      <c r="B33">
        <f>B29/2</f>
        <v>3.4375</v>
      </c>
      <c r="C33" t="s">
        <v>35</v>
      </c>
    </row>
    <row r="34" spans="1:7" x14ac:dyDescent="0.3">
      <c r="A34" t="s">
        <v>144</v>
      </c>
      <c r="B34">
        <f>$B$8*(D30/2)</f>
        <v>0</v>
      </c>
      <c r="C34" t="s">
        <v>146</v>
      </c>
    </row>
    <row r="35" spans="1:7" x14ac:dyDescent="0.3">
      <c r="A35" t="s">
        <v>145</v>
      </c>
      <c r="B35">
        <f>$B$8*(D31/2)</f>
        <v>7.8290300000000022</v>
      </c>
      <c r="C35" t="s">
        <v>146</v>
      </c>
    </row>
    <row r="37" spans="1:7" x14ac:dyDescent="0.3">
      <c r="A37" t="s">
        <v>130</v>
      </c>
      <c r="B37">
        <f>B27*(B28^3)/12</f>
        <v>6.5104166666666663E-4</v>
      </c>
      <c r="C37" t="s">
        <v>131</v>
      </c>
    </row>
    <row r="38" spans="1:7" x14ac:dyDescent="0.3">
      <c r="A38" t="s">
        <v>148</v>
      </c>
      <c r="B38">
        <f>B34*($B$3/2)/$B$12</f>
        <v>0</v>
      </c>
      <c r="C38" t="s">
        <v>149</v>
      </c>
    </row>
    <row r="39" spans="1:7" x14ac:dyDescent="0.3">
      <c r="A39" t="s">
        <v>150</v>
      </c>
      <c r="B39" s="12">
        <f>B35*($B$3/2)/$B$12</f>
        <v>1503.1737600000006</v>
      </c>
      <c r="C39" t="s">
        <v>149</v>
      </c>
    </row>
    <row r="40" spans="1:7" x14ac:dyDescent="0.3">
      <c r="A40" s="5" t="s">
        <v>155</v>
      </c>
    </row>
    <row r="41" spans="1:7" x14ac:dyDescent="0.3">
      <c r="A41" t="s">
        <v>151</v>
      </c>
      <c r="B41">
        <v>9</v>
      </c>
      <c r="C41" t="s">
        <v>101</v>
      </c>
    </row>
    <row r="42" spans="1:7" x14ac:dyDescent="0.3">
      <c r="A42" t="s">
        <v>142</v>
      </c>
      <c r="B42">
        <v>35</v>
      </c>
      <c r="C42" t="s">
        <v>35</v>
      </c>
    </row>
    <row r="43" spans="1:7" x14ac:dyDescent="0.3">
      <c r="A43" t="s">
        <v>152</v>
      </c>
      <c r="B43">
        <f>B27*B28*B42</f>
        <v>4.375</v>
      </c>
      <c r="C43" t="s">
        <v>90</v>
      </c>
    </row>
    <row r="44" spans="1:7" x14ac:dyDescent="0.3">
      <c r="A44" t="s">
        <v>153</v>
      </c>
      <c r="B44">
        <f>B41/B43</f>
        <v>2.0571428571428569</v>
      </c>
      <c r="C44" t="s">
        <v>154</v>
      </c>
      <c r="D44">
        <f>B44/16.3871</f>
        <v>0.12553428350000043</v>
      </c>
      <c r="E44" t="s">
        <v>92</v>
      </c>
      <c r="F44">
        <f>D44*1000</f>
        <v>125.53428350000043</v>
      </c>
      <c r="G44" t="s">
        <v>91</v>
      </c>
    </row>
    <row r="50" spans="1:13" x14ac:dyDescent="0.3">
      <c r="A50" s="5" t="s">
        <v>157</v>
      </c>
    </row>
    <row r="51" spans="1:13" x14ac:dyDescent="0.3">
      <c r="A51" t="s">
        <v>139</v>
      </c>
      <c r="B51">
        <v>0.5</v>
      </c>
      <c r="C51" t="s">
        <v>35</v>
      </c>
    </row>
    <row r="52" spans="1:13" x14ac:dyDescent="0.3">
      <c r="A52" t="s">
        <v>140</v>
      </c>
      <c r="B52">
        <v>0.25</v>
      </c>
      <c r="C52" t="s">
        <v>35</v>
      </c>
    </row>
    <row r="53" spans="1:13" x14ac:dyDescent="0.3">
      <c r="A53" t="s">
        <v>142</v>
      </c>
      <c r="B53">
        <v>6.95</v>
      </c>
      <c r="C53" t="s">
        <v>35</v>
      </c>
    </row>
    <row r="54" spans="1:13" x14ac:dyDescent="0.3">
      <c r="A54" t="s">
        <v>137</v>
      </c>
      <c r="C54" t="s">
        <v>101</v>
      </c>
      <c r="D54">
        <f>(B54/1000)*2.2</f>
        <v>0</v>
      </c>
      <c r="E54" t="s">
        <v>53</v>
      </c>
      <c r="F54" t="s">
        <v>138</v>
      </c>
      <c r="M54">
        <v>2400</v>
      </c>
    </row>
    <row r="55" spans="1:13" x14ac:dyDescent="0.3">
      <c r="A55" t="s">
        <v>136</v>
      </c>
      <c r="B55">
        <v>2400</v>
      </c>
      <c r="C55" t="s">
        <v>101</v>
      </c>
      <c r="D55">
        <f>(B55/1000)*2.2</f>
        <v>5.28</v>
      </c>
      <c r="E55" t="s">
        <v>53</v>
      </c>
      <c r="F55" t="s">
        <v>147</v>
      </c>
    </row>
    <row r="57" spans="1:13" x14ac:dyDescent="0.3">
      <c r="A57" t="s">
        <v>143</v>
      </c>
      <c r="B57">
        <f>B53/2</f>
        <v>3.4750000000000001</v>
      </c>
      <c r="C57" t="s">
        <v>35</v>
      </c>
    </row>
    <row r="58" spans="1:13" x14ac:dyDescent="0.3">
      <c r="A58" t="s">
        <v>144</v>
      </c>
      <c r="B58">
        <f>$B$8*(D54/2)</f>
        <v>0</v>
      </c>
      <c r="C58" t="s">
        <v>146</v>
      </c>
    </row>
    <row r="59" spans="1:13" x14ac:dyDescent="0.3">
      <c r="A59" t="s">
        <v>145</v>
      </c>
      <c r="B59">
        <f>$B$8*(D55/2)</f>
        <v>9.1212</v>
      </c>
      <c r="C59" t="s">
        <v>146</v>
      </c>
    </row>
    <row r="61" spans="1:13" x14ac:dyDescent="0.3">
      <c r="A61" t="s">
        <v>130</v>
      </c>
      <c r="B61">
        <f>B51*(B52^3)/12</f>
        <v>6.5104166666666663E-4</v>
      </c>
      <c r="C61" t="s">
        <v>131</v>
      </c>
    </row>
    <row r="62" spans="1:13" x14ac:dyDescent="0.3">
      <c r="A62" t="s">
        <v>148</v>
      </c>
      <c r="B62">
        <f>B58*($B$3/2)/$B$12</f>
        <v>0</v>
      </c>
      <c r="C62" t="s">
        <v>149</v>
      </c>
    </row>
    <row r="63" spans="1:13" x14ac:dyDescent="0.3">
      <c r="A63" t="s">
        <v>150</v>
      </c>
      <c r="B63" s="12">
        <f>B59*($B$3/2)/$B$12</f>
        <v>1751.2704000000001</v>
      </c>
      <c r="C63" t="s">
        <v>149</v>
      </c>
    </row>
    <row r="64" spans="1:13" x14ac:dyDescent="0.3">
      <c r="A64" s="5" t="s">
        <v>155</v>
      </c>
    </row>
    <row r="65" spans="1:15" x14ac:dyDescent="0.3">
      <c r="A65" t="s">
        <v>151</v>
      </c>
      <c r="B65">
        <v>9</v>
      </c>
      <c r="C65" t="s">
        <v>101</v>
      </c>
    </row>
    <row r="66" spans="1:15" x14ac:dyDescent="0.3">
      <c r="A66" t="s">
        <v>142</v>
      </c>
      <c r="B66">
        <v>35</v>
      </c>
      <c r="C66" t="s">
        <v>35</v>
      </c>
    </row>
    <row r="67" spans="1:15" x14ac:dyDescent="0.3">
      <c r="A67" t="s">
        <v>152</v>
      </c>
      <c r="B67">
        <f>B51*B52*B66</f>
        <v>4.375</v>
      </c>
      <c r="C67" t="s">
        <v>90</v>
      </c>
    </row>
    <row r="68" spans="1:15" x14ac:dyDescent="0.3">
      <c r="A68" t="s">
        <v>153</v>
      </c>
      <c r="B68">
        <f>B65/B67</f>
        <v>2.0571428571428569</v>
      </c>
      <c r="C68" t="s">
        <v>154</v>
      </c>
      <c r="D68">
        <f>B68/16.3871</f>
        <v>0.12553428350000043</v>
      </c>
      <c r="E68" t="s">
        <v>92</v>
      </c>
      <c r="F68">
        <f>D68*1000</f>
        <v>125.53428350000043</v>
      </c>
      <c r="G68" t="s">
        <v>91</v>
      </c>
    </row>
    <row r="71" spans="1:15" x14ac:dyDescent="0.3">
      <c r="A71" s="5" t="s">
        <v>158</v>
      </c>
    </row>
    <row r="72" spans="1:15" x14ac:dyDescent="0.3">
      <c r="A72" t="s">
        <v>139</v>
      </c>
      <c r="B72">
        <v>0.5</v>
      </c>
      <c r="C72" t="s">
        <v>35</v>
      </c>
    </row>
    <row r="73" spans="1:15" x14ac:dyDescent="0.3">
      <c r="A73" t="s">
        <v>140</v>
      </c>
      <c r="B73">
        <v>0.25</v>
      </c>
      <c r="C73" t="s">
        <v>35</v>
      </c>
    </row>
    <row r="74" spans="1:15" x14ac:dyDescent="0.3">
      <c r="A74" t="s">
        <v>142</v>
      </c>
      <c r="B74">
        <v>6.95</v>
      </c>
      <c r="C74" t="s">
        <v>35</v>
      </c>
    </row>
    <row r="75" spans="1:15" x14ac:dyDescent="0.3">
      <c r="A75" t="s">
        <v>137</v>
      </c>
      <c r="C75" t="s">
        <v>101</v>
      </c>
      <c r="D75">
        <f>(B75/1000)*2.2</f>
        <v>0</v>
      </c>
      <c r="E75" t="s">
        <v>53</v>
      </c>
      <c r="O75">
        <v>2380</v>
      </c>
    </row>
    <row r="76" spans="1:15" x14ac:dyDescent="0.3">
      <c r="A76" t="s">
        <v>136</v>
      </c>
      <c r="B76">
        <v>3030</v>
      </c>
      <c r="C76" t="s">
        <v>101</v>
      </c>
      <c r="D76">
        <f>(B76/1000)*2.2</f>
        <v>6.6660000000000004</v>
      </c>
      <c r="E76" t="s">
        <v>53</v>
      </c>
      <c r="F76" t="s">
        <v>147</v>
      </c>
    </row>
    <row r="78" spans="1:15" x14ac:dyDescent="0.3">
      <c r="A78" t="s">
        <v>143</v>
      </c>
      <c r="B78">
        <f>B74/2</f>
        <v>3.4750000000000001</v>
      </c>
      <c r="C78" t="s">
        <v>35</v>
      </c>
    </row>
    <row r="79" spans="1:15" x14ac:dyDescent="0.3">
      <c r="A79" t="s">
        <v>144</v>
      </c>
      <c r="B79">
        <f>$B$8*(D75/2)</f>
        <v>0</v>
      </c>
      <c r="C79" t="s">
        <v>146</v>
      </c>
    </row>
    <row r="80" spans="1:15" x14ac:dyDescent="0.3">
      <c r="A80" t="s">
        <v>145</v>
      </c>
      <c r="B80">
        <f>$B$8*(D76/2)</f>
        <v>11.515515000000001</v>
      </c>
      <c r="C80" t="s">
        <v>146</v>
      </c>
    </row>
    <row r="82" spans="1:7" x14ac:dyDescent="0.3">
      <c r="A82" t="s">
        <v>130</v>
      </c>
      <c r="B82">
        <f>B72*(B73^3)/12</f>
        <v>6.5104166666666663E-4</v>
      </c>
      <c r="C82" t="s">
        <v>131</v>
      </c>
    </row>
    <row r="83" spans="1:7" x14ac:dyDescent="0.3">
      <c r="A83" t="s">
        <v>148</v>
      </c>
      <c r="B83">
        <f>B79*($B$3/2)/$B$12</f>
        <v>0</v>
      </c>
      <c r="C83" t="s">
        <v>149</v>
      </c>
    </row>
    <row r="84" spans="1:7" x14ac:dyDescent="0.3">
      <c r="A84" t="s">
        <v>150</v>
      </c>
      <c r="B84" s="12">
        <f>B80*($B$3/2)/$B$12</f>
        <v>2210.9788800000001</v>
      </c>
      <c r="C84" t="s">
        <v>149</v>
      </c>
    </row>
    <row r="85" spans="1:7" x14ac:dyDescent="0.3">
      <c r="A85" s="5" t="s">
        <v>155</v>
      </c>
    </row>
    <row r="86" spans="1:7" x14ac:dyDescent="0.3">
      <c r="A86" t="s">
        <v>151</v>
      </c>
      <c r="B86">
        <v>9</v>
      </c>
      <c r="C86" t="s">
        <v>101</v>
      </c>
    </row>
    <row r="87" spans="1:7" x14ac:dyDescent="0.3">
      <c r="A87" t="s">
        <v>142</v>
      </c>
      <c r="B87">
        <v>35</v>
      </c>
      <c r="C87" t="s">
        <v>35</v>
      </c>
    </row>
    <row r="88" spans="1:7" x14ac:dyDescent="0.3">
      <c r="A88" t="s">
        <v>152</v>
      </c>
      <c r="B88">
        <f>B72*B73*B87</f>
        <v>4.375</v>
      </c>
      <c r="C88" t="s">
        <v>90</v>
      </c>
    </row>
    <row r="89" spans="1:7" x14ac:dyDescent="0.3">
      <c r="A89" t="s">
        <v>153</v>
      </c>
      <c r="B89">
        <f>B86/B88</f>
        <v>2.0571428571428569</v>
      </c>
      <c r="C89" t="s">
        <v>154</v>
      </c>
      <c r="D89">
        <f>B89/16.3871</f>
        <v>0.12553428350000043</v>
      </c>
      <c r="E89" t="s">
        <v>92</v>
      </c>
      <c r="F89">
        <f>D89*1000</f>
        <v>125.53428350000043</v>
      </c>
      <c r="G89" t="s">
        <v>91</v>
      </c>
    </row>
    <row r="96" spans="1:7" x14ac:dyDescent="0.3">
      <c r="A96" s="5" t="s">
        <v>165</v>
      </c>
    </row>
    <row r="97" spans="1:3" x14ac:dyDescent="0.3">
      <c r="A97" t="s">
        <v>161</v>
      </c>
      <c r="B97">
        <v>0.25</v>
      </c>
      <c r="C97" t="s">
        <v>35</v>
      </c>
    </row>
    <row r="98" spans="1:3" x14ac:dyDescent="0.3">
      <c r="A98" t="s">
        <v>160</v>
      </c>
      <c r="B98">
        <v>0.5</v>
      </c>
      <c r="C98" t="s">
        <v>35</v>
      </c>
    </row>
    <row r="99" spans="1:3" x14ac:dyDescent="0.3">
      <c r="A99" t="s">
        <v>159</v>
      </c>
      <c r="B99">
        <v>18</v>
      </c>
      <c r="C99" t="s">
        <v>31</v>
      </c>
    </row>
    <row r="100" spans="1:3" x14ac:dyDescent="0.3">
      <c r="A100" t="s">
        <v>162</v>
      </c>
      <c r="B100">
        <f>B97*B98</f>
        <v>0.125</v>
      </c>
      <c r="C100" t="s">
        <v>37</v>
      </c>
    </row>
    <row r="101" spans="1:3" x14ac:dyDescent="0.3">
      <c r="A101" t="s">
        <v>163</v>
      </c>
      <c r="B101">
        <f>B100*2</f>
        <v>0.25</v>
      </c>
      <c r="C101" t="s">
        <v>37</v>
      </c>
    </row>
    <row r="102" spans="1:3" x14ac:dyDescent="0.3">
      <c r="A102" t="s">
        <v>164</v>
      </c>
      <c r="B102">
        <f>B99/B101</f>
        <v>72</v>
      </c>
      <c r="C102" t="s">
        <v>149</v>
      </c>
    </row>
    <row r="108" spans="1:3" x14ac:dyDescent="0.3">
      <c r="A108" t="s">
        <v>166</v>
      </c>
    </row>
    <row r="109" spans="1:3" x14ac:dyDescent="0.3">
      <c r="A109" t="s">
        <v>139</v>
      </c>
      <c r="B109">
        <v>0.5</v>
      </c>
    </row>
    <row r="110" spans="1:3" x14ac:dyDescent="0.3">
      <c r="A110" t="s">
        <v>161</v>
      </c>
      <c r="B110">
        <v>0.25</v>
      </c>
    </row>
    <row r="111" spans="1:3" x14ac:dyDescent="0.3">
      <c r="A111" t="s">
        <v>49</v>
      </c>
      <c r="B111">
        <f>B109*B110</f>
        <v>0.125</v>
      </c>
    </row>
    <row r="112" spans="1:3" x14ac:dyDescent="0.3">
      <c r="A112" t="s">
        <v>159</v>
      </c>
      <c r="B112">
        <v>17</v>
      </c>
      <c r="C112" t="s">
        <v>31</v>
      </c>
    </row>
    <row r="113" spans="1:3" x14ac:dyDescent="0.3">
      <c r="A113" t="s">
        <v>167</v>
      </c>
      <c r="B113">
        <f>B112/B111</f>
        <v>136</v>
      </c>
      <c r="C113" t="s">
        <v>168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7"/>
  <sheetViews>
    <sheetView topLeftCell="A13" workbookViewId="0">
      <selection activeCell="N20" sqref="N20"/>
    </sheetView>
  </sheetViews>
  <sheetFormatPr defaultRowHeight="14.4" x14ac:dyDescent="0.3"/>
  <cols>
    <col min="1" max="1" width="33.21875" bestFit="1" customWidth="1"/>
    <col min="3" max="3" width="9.6640625" bestFit="1" customWidth="1"/>
    <col min="4" max="4" width="14.109375" bestFit="1" customWidth="1"/>
    <col min="5" max="5" width="10.33203125" bestFit="1" customWidth="1"/>
    <col min="6" max="6" width="12" bestFit="1" customWidth="1"/>
    <col min="7" max="7" width="18.88671875" customWidth="1"/>
    <col min="8" max="8" width="12" bestFit="1" customWidth="1"/>
    <col min="9" max="9" width="13.109375" bestFit="1" customWidth="1"/>
    <col min="10" max="10" width="21.109375" bestFit="1" customWidth="1"/>
    <col min="11" max="11" width="13.6640625" bestFit="1" customWidth="1"/>
  </cols>
  <sheetData>
    <row r="1" spans="1:12" x14ac:dyDescent="0.3">
      <c r="A1" s="5" t="s">
        <v>33</v>
      </c>
    </row>
    <row r="2" spans="1:12" x14ac:dyDescent="0.3">
      <c r="A2" t="s">
        <v>34</v>
      </c>
      <c r="B2">
        <v>293</v>
      </c>
      <c r="C2" t="s">
        <v>35</v>
      </c>
    </row>
    <row r="3" spans="1:12" x14ac:dyDescent="0.3">
      <c r="A3" t="s">
        <v>46</v>
      </c>
      <c r="B3">
        <v>62</v>
      </c>
      <c r="C3" t="s">
        <v>35</v>
      </c>
    </row>
    <row r="4" spans="1:12" x14ac:dyDescent="0.3">
      <c r="A4" t="s">
        <v>47</v>
      </c>
      <c r="B4">
        <v>29</v>
      </c>
      <c r="C4" t="s">
        <v>35</v>
      </c>
    </row>
    <row r="5" spans="1:12" x14ac:dyDescent="0.3">
      <c r="A5" t="s">
        <v>36</v>
      </c>
      <c r="B5">
        <v>98</v>
      </c>
      <c r="C5" t="s">
        <v>38</v>
      </c>
      <c r="D5">
        <f>B5*144</f>
        <v>14112</v>
      </c>
      <c r="E5" t="s">
        <v>37</v>
      </c>
    </row>
    <row r="6" spans="1:12" x14ac:dyDescent="0.3">
      <c r="A6" t="s">
        <v>39</v>
      </c>
      <c r="B6">
        <v>247</v>
      </c>
      <c r="C6" t="s">
        <v>35</v>
      </c>
    </row>
    <row r="7" spans="1:12" x14ac:dyDescent="0.3">
      <c r="A7" t="s">
        <v>40</v>
      </c>
      <c r="B7">
        <f>(7*12)+9</f>
        <v>93</v>
      </c>
      <c r="C7" t="s">
        <v>35</v>
      </c>
    </row>
    <row r="8" spans="1:12" x14ac:dyDescent="0.3">
      <c r="A8" t="s">
        <v>41</v>
      </c>
      <c r="B8">
        <f>(8*12)+1</f>
        <v>97</v>
      </c>
      <c r="C8" t="s">
        <v>35</v>
      </c>
    </row>
    <row r="9" spans="1:12" x14ac:dyDescent="0.3">
      <c r="A9" t="s">
        <v>42</v>
      </c>
      <c r="B9">
        <v>22</v>
      </c>
      <c r="C9" t="s">
        <v>38</v>
      </c>
      <c r="D9">
        <f>B9*144</f>
        <v>3168</v>
      </c>
      <c r="E9" t="s">
        <v>37</v>
      </c>
    </row>
    <row r="10" spans="1:12" x14ac:dyDescent="0.3">
      <c r="A10" t="s">
        <v>43</v>
      </c>
      <c r="B10">
        <f>D10/144</f>
        <v>14.069444444444445</v>
      </c>
      <c r="C10" t="s">
        <v>38</v>
      </c>
      <c r="D10">
        <f>(14*144)+10</f>
        <v>2026</v>
      </c>
      <c r="E10" t="s">
        <v>37</v>
      </c>
    </row>
    <row r="11" spans="1:12" x14ac:dyDescent="0.3">
      <c r="A11" t="s">
        <v>44</v>
      </c>
      <c r="B11">
        <f>D11/12</f>
        <v>5.166666666666667</v>
      </c>
      <c r="C11" t="s">
        <v>45</v>
      </c>
      <c r="D11">
        <f>(5*12)+2</f>
        <v>62</v>
      </c>
      <c r="E11" t="s">
        <v>37</v>
      </c>
    </row>
    <row r="12" spans="1:12" x14ac:dyDescent="0.3">
      <c r="I12" t="s">
        <v>49</v>
      </c>
      <c r="J12">
        <v>658</v>
      </c>
    </row>
    <row r="13" spans="1:12" x14ac:dyDescent="0.3">
      <c r="A13" t="s">
        <v>48</v>
      </c>
      <c r="B13">
        <f>B2*(AVERAGE(B3,B4))</f>
        <v>13331.5</v>
      </c>
      <c r="C13" t="s">
        <v>37</v>
      </c>
    </row>
    <row r="14" spans="1:12" x14ac:dyDescent="0.3">
      <c r="A14" t="s">
        <v>50</v>
      </c>
      <c r="B14">
        <f>B2/(AVERAGE(B3:B4))</f>
        <v>6.4395604395604398</v>
      </c>
      <c r="C14" s="6" t="s">
        <v>51</v>
      </c>
    </row>
    <row r="15" spans="1:12" x14ac:dyDescent="0.3">
      <c r="C15">
        <v>65</v>
      </c>
      <c r="J15">
        <v>0.3</v>
      </c>
      <c r="K15">
        <v>13.75</v>
      </c>
      <c r="L15">
        <v>6.5</v>
      </c>
    </row>
    <row r="16" spans="1:12" s="2" customFormat="1" x14ac:dyDescent="0.3">
      <c r="A16" s="1" t="s">
        <v>0</v>
      </c>
    </row>
    <row r="17" spans="1:14" s="3" customFormat="1" x14ac:dyDescent="0.3">
      <c r="C17" s="3" t="s">
        <v>1</v>
      </c>
      <c r="D17" s="3" t="s">
        <v>2</v>
      </c>
      <c r="E17" s="3" t="s">
        <v>3</v>
      </c>
      <c r="F17" s="3" t="s">
        <v>4</v>
      </c>
      <c r="G17" s="3" t="s">
        <v>5</v>
      </c>
      <c r="H17" s="3" t="s">
        <v>6</v>
      </c>
      <c r="I17" s="3" t="s">
        <v>7</v>
      </c>
      <c r="J17" s="3" t="s">
        <v>8</v>
      </c>
      <c r="K17" s="3" t="s">
        <v>180</v>
      </c>
      <c r="L17" s="3" t="s">
        <v>9</v>
      </c>
      <c r="M17" s="3" t="s">
        <v>10</v>
      </c>
    </row>
    <row r="18" spans="1:14" x14ac:dyDescent="0.3">
      <c r="A18" t="s">
        <v>11</v>
      </c>
      <c r="C18">
        <v>64</v>
      </c>
      <c r="D18">
        <f>AVERAGE(L18:M18)</f>
        <v>10.625</v>
      </c>
      <c r="E18">
        <f>C18*D18</f>
        <v>680</v>
      </c>
      <c r="F18">
        <f>E18/144</f>
        <v>4.7222222222222223</v>
      </c>
      <c r="G18">
        <f>C18/D18</f>
        <v>6.0235294117647058</v>
      </c>
      <c r="H18">
        <f>I18/2.2046</f>
        <v>0.47123690868587903</v>
      </c>
      <c r="I18">
        <f>F18*J18</f>
        <v>1.038888888888889</v>
      </c>
      <c r="J18">
        <v>0.22</v>
      </c>
      <c r="K18" s="10">
        <f>H18/H38</f>
        <v>0.15587164450526411</v>
      </c>
      <c r="L18">
        <f>B42</f>
        <v>14.25</v>
      </c>
      <c r="M18">
        <f>B56</f>
        <v>7</v>
      </c>
    </row>
    <row r="19" spans="1:14" s="3" customFormat="1" x14ac:dyDescent="0.3">
      <c r="C19" s="3" t="s">
        <v>12</v>
      </c>
      <c r="H19" s="3" t="s">
        <v>13</v>
      </c>
      <c r="I19" s="3" t="s">
        <v>14</v>
      </c>
      <c r="K19" s="11"/>
    </row>
    <row r="20" spans="1:14" x14ac:dyDescent="0.3">
      <c r="A20" t="s">
        <v>15</v>
      </c>
      <c r="C20">
        <v>54.7</v>
      </c>
      <c r="H20">
        <v>0.8</v>
      </c>
      <c r="I20">
        <f>H20*2.2046</f>
        <v>1.7636800000000001</v>
      </c>
      <c r="K20" s="10">
        <f>H20/$H$38</f>
        <v>0.26461703934004255</v>
      </c>
      <c r="N20" t="s">
        <v>16</v>
      </c>
    </row>
    <row r="21" spans="1:14" s="3" customFormat="1" x14ac:dyDescent="0.3">
      <c r="C21" s="3" t="s">
        <v>1</v>
      </c>
      <c r="D21" s="3" t="s">
        <v>17</v>
      </c>
      <c r="E21" s="3" t="s">
        <v>3</v>
      </c>
      <c r="F21" s="3" t="s">
        <v>4</v>
      </c>
      <c r="G21" s="3" t="s">
        <v>5</v>
      </c>
      <c r="H21" s="3" t="s">
        <v>6</v>
      </c>
      <c r="I21" s="3" t="s">
        <v>7</v>
      </c>
      <c r="J21" s="3" t="s">
        <v>8</v>
      </c>
      <c r="K21" s="11"/>
    </row>
    <row r="22" spans="1:14" x14ac:dyDescent="0.3">
      <c r="A22" t="s">
        <v>18</v>
      </c>
      <c r="C22">
        <v>21.5</v>
      </c>
      <c r="D22">
        <f>E22/C22</f>
        <v>7.2618604651162793</v>
      </c>
      <c r="E22">
        <v>156.13</v>
      </c>
      <c r="F22">
        <f>E22/144</f>
        <v>1.0842361111111112</v>
      </c>
      <c r="G22">
        <f>C22/D22</f>
        <v>2.9606737974764616</v>
      </c>
      <c r="H22">
        <v>0.09</v>
      </c>
      <c r="K22" s="10">
        <f t="shared" ref="K22:K36" si="0">H22/$H$38</f>
        <v>2.9769416925754785E-2</v>
      </c>
    </row>
    <row r="23" spans="1:14" s="3" customFormat="1" x14ac:dyDescent="0.3">
      <c r="C23" s="3" t="s">
        <v>19</v>
      </c>
      <c r="D23" s="3" t="s">
        <v>17</v>
      </c>
      <c r="E23" s="3" t="s">
        <v>3</v>
      </c>
      <c r="F23" s="3" t="s">
        <v>4</v>
      </c>
      <c r="G23" s="3" t="s">
        <v>5</v>
      </c>
      <c r="H23" s="3" t="s">
        <v>6</v>
      </c>
      <c r="I23" s="3" t="s">
        <v>7</v>
      </c>
      <c r="J23" s="3" t="s">
        <v>8</v>
      </c>
      <c r="K23" s="11"/>
    </row>
    <row r="24" spans="1:14" x14ac:dyDescent="0.3">
      <c r="A24" t="s">
        <v>20</v>
      </c>
      <c r="C24">
        <v>13.75</v>
      </c>
      <c r="E24">
        <v>99.85</v>
      </c>
      <c r="H24">
        <v>0.09</v>
      </c>
      <c r="K24" s="10">
        <f t="shared" si="0"/>
        <v>2.9769416925754785E-2</v>
      </c>
    </row>
    <row r="25" spans="1:14" s="3" customFormat="1" x14ac:dyDescent="0.3">
      <c r="C25" s="3" t="s">
        <v>21</v>
      </c>
      <c r="H25" s="3" t="s">
        <v>6</v>
      </c>
      <c r="K25" s="11"/>
    </row>
    <row r="26" spans="1:14" x14ac:dyDescent="0.3">
      <c r="A26" t="s">
        <v>22</v>
      </c>
      <c r="C26" t="s">
        <v>23</v>
      </c>
      <c r="H26">
        <v>0.85</v>
      </c>
      <c r="K26" s="10">
        <f t="shared" si="0"/>
        <v>0.28115560429879516</v>
      </c>
    </row>
    <row r="27" spans="1:14" s="3" customFormat="1" x14ac:dyDescent="0.3">
      <c r="K27" s="11"/>
    </row>
    <row r="28" spans="1:14" x14ac:dyDescent="0.3">
      <c r="A28" t="s">
        <v>24</v>
      </c>
      <c r="H28">
        <v>0.115</v>
      </c>
      <c r="K28" s="10">
        <f t="shared" si="0"/>
        <v>3.8038699405131118E-2</v>
      </c>
    </row>
    <row r="29" spans="1:14" s="3" customFormat="1" x14ac:dyDescent="0.3">
      <c r="K29" s="11"/>
    </row>
    <row r="30" spans="1:14" x14ac:dyDescent="0.3">
      <c r="A30" t="s">
        <v>25</v>
      </c>
      <c r="H30">
        <v>0.21299999999999999</v>
      </c>
      <c r="K30" s="10">
        <f t="shared" si="0"/>
        <v>7.0454286724286316E-2</v>
      </c>
    </row>
    <row r="31" spans="1:14" s="3" customFormat="1" x14ac:dyDescent="0.3">
      <c r="K31" s="11"/>
    </row>
    <row r="32" spans="1:14" x14ac:dyDescent="0.3">
      <c r="A32" t="s">
        <v>26</v>
      </c>
      <c r="H32">
        <v>4.7E-2</v>
      </c>
      <c r="K32" s="10">
        <f t="shared" si="0"/>
        <v>1.5546251061227499E-2</v>
      </c>
    </row>
    <row r="33" spans="1:11" s="3" customFormat="1" x14ac:dyDescent="0.3">
      <c r="K33" s="11"/>
    </row>
    <row r="34" spans="1:11" x14ac:dyDescent="0.3">
      <c r="A34" t="s">
        <v>27</v>
      </c>
      <c r="H34">
        <v>0.25</v>
      </c>
      <c r="K34" s="10">
        <f t="shared" si="0"/>
        <v>8.2692824793763289E-2</v>
      </c>
    </row>
    <row r="35" spans="1:11" s="3" customFormat="1" x14ac:dyDescent="0.3">
      <c r="K35" s="11"/>
    </row>
    <row r="36" spans="1:11" x14ac:dyDescent="0.3">
      <c r="A36" t="s">
        <v>28</v>
      </c>
      <c r="H36">
        <v>9.7000000000000003E-2</v>
      </c>
      <c r="K36" s="10">
        <f t="shared" si="0"/>
        <v>3.2084816019980159E-2</v>
      </c>
    </row>
    <row r="38" spans="1:11" x14ac:dyDescent="0.3">
      <c r="G38" t="s">
        <v>29</v>
      </c>
      <c r="H38" s="4">
        <f>SUM(H18,H20,H22,H24,H26,H28,H30,H32,H34,H36)</f>
        <v>3.0232369086858797</v>
      </c>
      <c r="I38" t="s">
        <v>30</v>
      </c>
      <c r="J38">
        <f>H38*2.2046</f>
        <v>6.6650280888888904</v>
      </c>
      <c r="K38" t="s">
        <v>31</v>
      </c>
    </row>
    <row r="39" spans="1:11" x14ac:dyDescent="0.3">
      <c r="G39" t="s">
        <v>32</v>
      </c>
      <c r="H39">
        <f>(J38*16)/F18</f>
        <v>22.582683407058827</v>
      </c>
      <c r="I39" t="s">
        <v>110</v>
      </c>
    </row>
    <row r="40" spans="1:11" x14ac:dyDescent="0.3">
      <c r="A40" s="5" t="s">
        <v>54</v>
      </c>
    </row>
    <row r="41" spans="1:11" x14ac:dyDescent="0.3">
      <c r="A41" t="s">
        <v>57</v>
      </c>
      <c r="B41">
        <v>28.6</v>
      </c>
      <c r="C41" t="s">
        <v>35</v>
      </c>
    </row>
    <row r="42" spans="1:11" x14ac:dyDescent="0.3">
      <c r="A42" t="s">
        <v>58</v>
      </c>
      <c r="B42">
        <v>14.25</v>
      </c>
      <c r="C42" t="s">
        <v>35</v>
      </c>
    </row>
    <row r="43" spans="1:11" x14ac:dyDescent="0.3">
      <c r="A43" t="s">
        <v>59</v>
      </c>
      <c r="B43">
        <v>0.2</v>
      </c>
      <c r="C43" s="6" t="s">
        <v>68</v>
      </c>
    </row>
    <row r="44" spans="1:11" x14ac:dyDescent="0.3">
      <c r="A44" t="s">
        <v>60</v>
      </c>
      <c r="B44">
        <v>1.5</v>
      </c>
      <c r="C44" s="6" t="s">
        <v>35</v>
      </c>
    </row>
    <row r="45" spans="1:11" x14ac:dyDescent="0.3">
      <c r="A45" t="s">
        <v>61</v>
      </c>
      <c r="B45">
        <v>0.2</v>
      </c>
      <c r="C45" t="s">
        <v>35</v>
      </c>
    </row>
    <row r="46" spans="1:11" x14ac:dyDescent="0.3">
      <c r="A46" t="s">
        <v>62</v>
      </c>
      <c r="B46">
        <v>0.3</v>
      </c>
      <c r="C46" t="s">
        <v>35</v>
      </c>
    </row>
    <row r="47" spans="1:11" x14ac:dyDescent="0.3">
      <c r="A47" t="s">
        <v>63</v>
      </c>
      <c r="B47">
        <v>0</v>
      </c>
      <c r="C47" t="s">
        <v>35</v>
      </c>
      <c r="D47" t="s">
        <v>80</v>
      </c>
    </row>
    <row r="48" spans="1:11" x14ac:dyDescent="0.3">
      <c r="A48" t="s">
        <v>64</v>
      </c>
      <c r="B48">
        <v>0.25</v>
      </c>
      <c r="C48" t="s">
        <v>35</v>
      </c>
    </row>
    <row r="49" spans="1:4" x14ac:dyDescent="0.3">
      <c r="A49" t="s">
        <v>65</v>
      </c>
      <c r="B49">
        <v>0</v>
      </c>
      <c r="C49" t="s">
        <v>35</v>
      </c>
      <c r="D49" t="s">
        <v>81</v>
      </c>
    </row>
    <row r="50" spans="1:4" x14ac:dyDescent="0.3">
      <c r="A50" t="s">
        <v>66</v>
      </c>
      <c r="B50">
        <v>0</v>
      </c>
      <c r="C50" s="6" t="s">
        <v>68</v>
      </c>
      <c r="D50" t="s">
        <v>84</v>
      </c>
    </row>
    <row r="51" spans="1:4" x14ac:dyDescent="0.3">
      <c r="A51" t="s">
        <v>67</v>
      </c>
      <c r="B51">
        <v>0.2</v>
      </c>
      <c r="C51" t="s">
        <v>35</v>
      </c>
    </row>
    <row r="52" spans="1:4" x14ac:dyDescent="0.3">
      <c r="A52" t="s">
        <v>69</v>
      </c>
      <c r="B52">
        <v>0.3</v>
      </c>
      <c r="C52" t="s">
        <v>35</v>
      </c>
    </row>
    <row r="53" spans="1:4" x14ac:dyDescent="0.3">
      <c r="A53" t="s">
        <v>70</v>
      </c>
      <c r="B53">
        <v>0</v>
      </c>
      <c r="C53" t="s">
        <v>35</v>
      </c>
      <c r="D53" t="s">
        <v>84</v>
      </c>
    </row>
    <row r="54" spans="1:4" x14ac:dyDescent="0.3">
      <c r="A54" t="s">
        <v>71</v>
      </c>
      <c r="B54">
        <f>3/16</f>
        <v>0.1875</v>
      </c>
      <c r="C54" t="s">
        <v>35</v>
      </c>
    </row>
    <row r="55" spans="1:4" x14ac:dyDescent="0.3">
      <c r="A55" t="s">
        <v>72</v>
      </c>
      <c r="B55">
        <v>0</v>
      </c>
      <c r="C55" t="s">
        <v>35</v>
      </c>
      <c r="D55" t="s">
        <v>81</v>
      </c>
    </row>
    <row r="56" spans="1:4" x14ac:dyDescent="0.3">
      <c r="A56" t="s">
        <v>73</v>
      </c>
      <c r="B56">
        <v>7</v>
      </c>
      <c r="C56" t="s">
        <v>35</v>
      </c>
    </row>
    <row r="57" spans="1:4" x14ac:dyDescent="0.3">
      <c r="A57" t="s">
        <v>74</v>
      </c>
      <c r="B57">
        <v>0.25</v>
      </c>
      <c r="C57" s="6" t="s">
        <v>68</v>
      </c>
    </row>
    <row r="58" spans="1:4" x14ac:dyDescent="0.3">
      <c r="A58" t="s">
        <v>75</v>
      </c>
      <c r="B58">
        <v>1</v>
      </c>
      <c r="C58" t="s">
        <v>35</v>
      </c>
    </row>
    <row r="59" spans="1:4" x14ac:dyDescent="0.3">
      <c r="A59" t="s">
        <v>76</v>
      </c>
      <c r="B59">
        <v>1</v>
      </c>
      <c r="C59" t="s">
        <v>56</v>
      </c>
    </row>
    <row r="60" spans="1:4" x14ac:dyDescent="0.3">
      <c r="A60" t="s">
        <v>77</v>
      </c>
      <c r="B60">
        <v>0.125</v>
      </c>
      <c r="C60" t="s">
        <v>35</v>
      </c>
      <c r="D60" t="s">
        <v>82</v>
      </c>
    </row>
    <row r="61" spans="1:4" x14ac:dyDescent="0.3">
      <c r="A61" t="s">
        <v>87</v>
      </c>
      <c r="B61">
        <f>1/16</f>
        <v>6.25E-2</v>
      </c>
      <c r="C61" t="s">
        <v>35</v>
      </c>
      <c r="D61" t="s">
        <v>55</v>
      </c>
    </row>
    <row r="62" spans="1:4" x14ac:dyDescent="0.3">
      <c r="A62" t="s">
        <v>88</v>
      </c>
      <c r="B62">
        <v>0.2</v>
      </c>
      <c r="C62" t="s">
        <v>35</v>
      </c>
      <c r="D62" t="s">
        <v>83</v>
      </c>
    </row>
    <row r="63" spans="1:4" x14ac:dyDescent="0.3">
      <c r="A63" t="s">
        <v>78</v>
      </c>
      <c r="B63">
        <f>1/8</f>
        <v>0.125</v>
      </c>
      <c r="C63" t="s">
        <v>35</v>
      </c>
      <c r="D63" t="s">
        <v>55</v>
      </c>
    </row>
    <row r="64" spans="1:4" x14ac:dyDescent="0.3">
      <c r="A64" t="s">
        <v>79</v>
      </c>
      <c r="B64">
        <f>(14.25-7)/28.6</f>
        <v>0.25349650349650349</v>
      </c>
    </row>
    <row r="65" spans="1:7" x14ac:dyDescent="0.3">
      <c r="A65" t="s">
        <v>86</v>
      </c>
      <c r="B65">
        <f>14.25-B64*7.5</f>
        <v>12.348776223776223</v>
      </c>
      <c r="C65" t="s">
        <v>35</v>
      </c>
    </row>
    <row r="66" spans="1:7" x14ac:dyDescent="0.3">
      <c r="A66" t="s">
        <v>85</v>
      </c>
      <c r="B66">
        <f>14.25-B64*(14.627)</f>
        <v>10.542106643356643</v>
      </c>
      <c r="C66" t="s">
        <v>35</v>
      </c>
    </row>
    <row r="67" spans="1:7" x14ac:dyDescent="0.3">
      <c r="A67" t="s">
        <v>89</v>
      </c>
      <c r="B67">
        <f>14.25-B64*(21.627)</f>
        <v>8.7676311188811198</v>
      </c>
    </row>
    <row r="71" spans="1:7" x14ac:dyDescent="0.3">
      <c r="A71" t="s">
        <v>51</v>
      </c>
      <c r="B71">
        <v>0.5</v>
      </c>
    </row>
    <row r="72" spans="1:7" x14ac:dyDescent="0.3">
      <c r="A72" t="s">
        <v>170</v>
      </c>
      <c r="B72">
        <v>2.3800000000000002E-3</v>
      </c>
      <c r="C72" t="s">
        <v>169</v>
      </c>
    </row>
    <row r="73" spans="1:7" x14ac:dyDescent="0.3">
      <c r="A73" t="s">
        <v>171</v>
      </c>
      <c r="B73">
        <v>33</v>
      </c>
      <c r="C73" t="s">
        <v>172</v>
      </c>
      <c r="D73">
        <f>B73*3.28</f>
        <v>108.24</v>
      </c>
      <c r="E73" t="s">
        <v>173</v>
      </c>
      <c r="F73">
        <f>D73*(3600/5280)</f>
        <v>73.8</v>
      </c>
      <c r="G73" t="s">
        <v>181</v>
      </c>
    </row>
    <row r="74" spans="1:7" x14ac:dyDescent="0.3">
      <c r="A74" t="s">
        <v>174</v>
      </c>
      <c r="B74">
        <v>0.9</v>
      </c>
    </row>
    <row r="75" spans="1:7" x14ac:dyDescent="0.3">
      <c r="A75" t="s">
        <v>49</v>
      </c>
      <c r="B75">
        <v>657.8</v>
      </c>
      <c r="C75" t="s">
        <v>37</v>
      </c>
      <c r="D75">
        <f>B75/144</f>
        <v>4.5680555555555555</v>
      </c>
      <c r="E75" t="s">
        <v>38</v>
      </c>
    </row>
    <row r="76" spans="1:7" x14ac:dyDescent="0.3">
      <c r="A76" t="s">
        <v>175</v>
      </c>
      <c r="B76">
        <f>B71*B72*(D73^2)*B74*D75</f>
        <v>57.318710969519998</v>
      </c>
      <c r="C76" t="s">
        <v>53</v>
      </c>
    </row>
    <row r="77" spans="1:7" x14ac:dyDescent="0.3">
      <c r="A77" s="5" t="s">
        <v>176</v>
      </c>
      <c r="B77" s="5">
        <f>B76/J38</f>
        <v>8.5999203911945479</v>
      </c>
      <c r="C77" s="5" t="s">
        <v>51</v>
      </c>
    </row>
    <row r="78" spans="1:7" x14ac:dyDescent="0.3">
      <c r="A78" t="s">
        <v>177</v>
      </c>
      <c r="B78">
        <f>B77*32.2</f>
        <v>276.91743659646448</v>
      </c>
      <c r="C78" t="s">
        <v>178</v>
      </c>
    </row>
    <row r="79" spans="1:7" x14ac:dyDescent="0.3">
      <c r="A79" t="s">
        <v>179</v>
      </c>
      <c r="B79">
        <f>(D73^2)/B78</f>
        <v>42.3082697283266</v>
      </c>
      <c r="C79" t="s">
        <v>45</v>
      </c>
    </row>
    <row r="81" spans="1:7" x14ac:dyDescent="0.3">
      <c r="A81" t="s">
        <v>182</v>
      </c>
      <c r="B81">
        <f>(B77/17.13)*707.2</f>
        <v>355.04166378591856</v>
      </c>
      <c r="C81" t="s">
        <v>146</v>
      </c>
    </row>
    <row r="85" spans="1:7" x14ac:dyDescent="0.3">
      <c r="A85" s="5" t="s">
        <v>190</v>
      </c>
    </row>
    <row r="86" spans="1:7" x14ac:dyDescent="0.3">
      <c r="A86" t="s">
        <v>51</v>
      </c>
      <c r="B86">
        <v>0.5</v>
      </c>
    </row>
    <row r="87" spans="1:7" x14ac:dyDescent="0.3">
      <c r="A87" t="s">
        <v>170</v>
      </c>
      <c r="B87">
        <v>2.3800000000000002E-3</v>
      </c>
      <c r="C87" t="s">
        <v>169</v>
      </c>
    </row>
    <row r="88" spans="1:7" x14ac:dyDescent="0.3">
      <c r="A88" t="s">
        <v>171</v>
      </c>
      <c r="B88">
        <v>33</v>
      </c>
      <c r="C88" t="s">
        <v>172</v>
      </c>
      <c r="D88">
        <f>B88*3.28</f>
        <v>108.24</v>
      </c>
      <c r="E88" t="s">
        <v>173</v>
      </c>
      <c r="F88">
        <f>D88*(3600/5280)</f>
        <v>73.8</v>
      </c>
      <c r="G88" t="s">
        <v>181</v>
      </c>
    </row>
    <row r="89" spans="1:7" x14ac:dyDescent="0.3">
      <c r="A89" t="s">
        <v>183</v>
      </c>
      <c r="B89">
        <v>-0.13700000000000001</v>
      </c>
      <c r="D89" t="s">
        <v>185</v>
      </c>
    </row>
    <row r="90" spans="1:7" x14ac:dyDescent="0.3">
      <c r="A90" t="s">
        <v>49</v>
      </c>
      <c r="B90">
        <v>657.8</v>
      </c>
      <c r="C90" t="s">
        <v>37</v>
      </c>
      <c r="D90">
        <f>B90/144</f>
        <v>4.5680555555555555</v>
      </c>
      <c r="E90" t="s">
        <v>38</v>
      </c>
    </row>
    <row r="91" spans="1:7" x14ac:dyDescent="0.3">
      <c r="A91" t="s">
        <v>186</v>
      </c>
      <c r="B91">
        <f>B86*B87*(D88^2)*B89*D90</f>
        <v>-8.7251815586936008</v>
      </c>
      <c r="C91" t="s">
        <v>184</v>
      </c>
    </row>
    <row r="92" spans="1:7" x14ac:dyDescent="0.3">
      <c r="A92" t="s">
        <v>188</v>
      </c>
      <c r="B92" s="5">
        <f>B91/(H98/12)</f>
        <v>-3.9155639006852359</v>
      </c>
      <c r="C92" s="5" t="s">
        <v>31</v>
      </c>
    </row>
    <row r="98" spans="1:9" x14ac:dyDescent="0.3">
      <c r="G98" t="s">
        <v>187</v>
      </c>
      <c r="H98">
        <f>30-3.26</f>
        <v>26.740000000000002</v>
      </c>
      <c r="I98" t="s">
        <v>35</v>
      </c>
    </row>
    <row r="105" spans="1:9" x14ac:dyDescent="0.3">
      <c r="A105" t="s">
        <v>189</v>
      </c>
    </row>
    <row r="107" spans="1:9" x14ac:dyDescent="0.3">
      <c r="A107" t="s">
        <v>51</v>
      </c>
      <c r="B107">
        <v>0.5</v>
      </c>
    </row>
    <row r="108" spans="1:9" x14ac:dyDescent="0.3">
      <c r="A108" t="s">
        <v>170</v>
      </c>
      <c r="B108">
        <v>2.3800000000000002E-3</v>
      </c>
      <c r="C108" t="s">
        <v>169</v>
      </c>
    </row>
    <row r="109" spans="1:9" x14ac:dyDescent="0.3">
      <c r="A109" t="s">
        <v>171</v>
      </c>
      <c r="B109">
        <v>33</v>
      </c>
      <c r="C109" t="s">
        <v>172</v>
      </c>
      <c r="D109">
        <f>B109*3.28</f>
        <v>108.24</v>
      </c>
      <c r="E109" t="s">
        <v>173</v>
      </c>
      <c r="F109">
        <f>D109*(3600/5280)</f>
        <v>73.8</v>
      </c>
      <c r="G109" t="s">
        <v>181</v>
      </c>
    </row>
    <row r="110" spans="1:9" x14ac:dyDescent="0.3">
      <c r="A110" t="s">
        <v>174</v>
      </c>
      <c r="B110">
        <v>0.26</v>
      </c>
    </row>
    <row r="111" spans="1:9" x14ac:dyDescent="0.3">
      <c r="A111" t="s">
        <v>49</v>
      </c>
      <c r="B111">
        <f>E22</f>
        <v>156.13</v>
      </c>
      <c r="C111" t="s">
        <v>37</v>
      </c>
      <c r="D111">
        <f>B111/144</f>
        <v>1.0842361111111112</v>
      </c>
      <c r="E111" t="s">
        <v>38</v>
      </c>
    </row>
    <row r="112" spans="1:9" x14ac:dyDescent="0.3">
      <c r="A112" t="s">
        <v>175</v>
      </c>
      <c r="B112">
        <f>B107*B108*(D109^2)*B110*D111</f>
        <v>3.9302460885688002</v>
      </c>
      <c r="C112" t="s">
        <v>53</v>
      </c>
    </row>
    <row r="113" spans="1:3" x14ac:dyDescent="0.3">
      <c r="A113" s="5" t="s">
        <v>176</v>
      </c>
      <c r="B113" s="5">
        <f>B112/J38</f>
        <v>0.58968184922143385</v>
      </c>
      <c r="C113" s="5" t="s">
        <v>51</v>
      </c>
    </row>
    <row r="114" spans="1:3" x14ac:dyDescent="0.3">
      <c r="A114" t="s">
        <v>177</v>
      </c>
      <c r="B114">
        <f>B113*32.2</f>
        <v>18.98775554493017</v>
      </c>
      <c r="C114" t="s">
        <v>178</v>
      </c>
    </row>
    <row r="115" spans="1:3" x14ac:dyDescent="0.3">
      <c r="A115" t="s">
        <v>179</v>
      </c>
      <c r="B115">
        <f>(D109^2)/B114</f>
        <v>617.02382739639836</v>
      </c>
      <c r="C115" t="s">
        <v>45</v>
      </c>
    </row>
    <row r="117" spans="1:3" x14ac:dyDescent="0.3">
      <c r="A117" t="s">
        <v>182</v>
      </c>
      <c r="B117">
        <f>(B113/17.13)*707.2</f>
        <v>24.34460033680082</v>
      </c>
      <c r="C117" t="s">
        <v>146</v>
      </c>
    </row>
  </sheetData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"/>
  <sheetViews>
    <sheetView workbookViewId="0">
      <selection activeCell="E24" sqref="E24"/>
    </sheetView>
  </sheetViews>
  <sheetFormatPr defaultRowHeight="14.4" x14ac:dyDescent="0.3"/>
  <cols>
    <col min="1" max="1" width="30.44140625" bestFit="1" customWidth="1"/>
    <col min="11" max="11" width="12" bestFit="1" customWidth="1"/>
  </cols>
  <sheetData>
    <row r="1" spans="1:10" s="8" customFormat="1" x14ac:dyDescent="0.3">
      <c r="A1" s="7" t="s">
        <v>123</v>
      </c>
    </row>
    <row r="2" spans="1:10" x14ac:dyDescent="0.3">
      <c r="A2" s="5" t="s">
        <v>103</v>
      </c>
    </row>
    <row r="3" spans="1:10" x14ac:dyDescent="0.3">
      <c r="A3" t="s">
        <v>95</v>
      </c>
      <c r="B3">
        <v>36</v>
      </c>
      <c r="C3" t="s">
        <v>35</v>
      </c>
    </row>
    <row r="4" spans="1:10" x14ac:dyDescent="0.3">
      <c r="A4" t="s">
        <v>96</v>
      </c>
      <c r="B4">
        <v>1</v>
      </c>
      <c r="C4" t="s">
        <v>35</v>
      </c>
    </row>
    <row r="5" spans="1:10" x14ac:dyDescent="0.3">
      <c r="A5" t="s">
        <v>97</v>
      </c>
      <c r="B5">
        <v>0.25</v>
      </c>
      <c r="C5" t="s">
        <v>35</v>
      </c>
    </row>
    <row r="6" spans="1:10" x14ac:dyDescent="0.3">
      <c r="A6" t="s">
        <v>98</v>
      </c>
      <c r="B6">
        <f>B3*B4*B5</f>
        <v>9</v>
      </c>
      <c r="C6" t="s">
        <v>90</v>
      </c>
      <c r="D6">
        <f>B6/(39.37^3)</f>
        <v>1.4748446090499565E-4</v>
      </c>
      <c r="E6" t="s">
        <v>99</v>
      </c>
    </row>
    <row r="7" spans="1:10" x14ac:dyDescent="0.3">
      <c r="A7" t="s">
        <v>100</v>
      </c>
      <c r="B7">
        <v>17.5</v>
      </c>
      <c r="C7" t="s">
        <v>101</v>
      </c>
      <c r="D7">
        <f>B7/1000</f>
        <v>1.7500000000000002E-2</v>
      </c>
      <c r="E7" t="s">
        <v>30</v>
      </c>
      <c r="F7">
        <f>D7*2.2</f>
        <v>3.8500000000000006E-2</v>
      </c>
      <c r="G7" t="s">
        <v>31</v>
      </c>
      <c r="H7">
        <f>F7/B6</f>
        <v>4.2777777777777788E-3</v>
      </c>
    </row>
    <row r="8" spans="1:10" x14ac:dyDescent="0.3">
      <c r="A8" t="s">
        <v>102</v>
      </c>
      <c r="B8">
        <f>D7/D6</f>
        <v>118.65656824194443</v>
      </c>
      <c r="C8" t="s">
        <v>91</v>
      </c>
      <c r="G8">
        <f>B8/16.0185</f>
        <v>7.4074706272088164</v>
      </c>
      <c r="I8">
        <f>G8/(12^3)</f>
        <v>4.2867306870421392E-3</v>
      </c>
      <c r="J8" t="s">
        <v>109</v>
      </c>
    </row>
    <row r="11" spans="1:10" x14ac:dyDescent="0.3">
      <c r="A11" s="5" t="s">
        <v>104</v>
      </c>
    </row>
    <row r="12" spans="1:10" x14ac:dyDescent="0.3">
      <c r="A12" t="s">
        <v>95</v>
      </c>
      <c r="B12">
        <v>36</v>
      </c>
      <c r="C12" t="s">
        <v>35</v>
      </c>
    </row>
    <row r="13" spans="1:10" x14ac:dyDescent="0.3">
      <c r="A13" t="s">
        <v>96</v>
      </c>
      <c r="B13">
        <v>3</v>
      </c>
      <c r="C13" t="s">
        <v>35</v>
      </c>
    </row>
    <row r="14" spans="1:10" x14ac:dyDescent="0.3">
      <c r="A14" t="s">
        <v>97</v>
      </c>
      <c r="B14">
        <f>3/32</f>
        <v>9.375E-2</v>
      </c>
      <c r="C14" t="s">
        <v>35</v>
      </c>
    </row>
    <row r="15" spans="1:10" x14ac:dyDescent="0.3">
      <c r="A15" t="s">
        <v>98</v>
      </c>
      <c r="B15">
        <f>B12*B13*B14</f>
        <v>10.125</v>
      </c>
      <c r="C15" t="s">
        <v>90</v>
      </c>
      <c r="D15">
        <f>B15/(39.37^3)</f>
        <v>1.659200185181201E-4</v>
      </c>
      <c r="E15" t="s">
        <v>99</v>
      </c>
    </row>
    <row r="16" spans="1:10" x14ac:dyDescent="0.3">
      <c r="A16" t="s">
        <v>100</v>
      </c>
      <c r="B16">
        <v>30</v>
      </c>
      <c r="C16" t="s">
        <v>101</v>
      </c>
      <c r="D16">
        <f>B16/1000</f>
        <v>0.03</v>
      </c>
      <c r="E16" t="s">
        <v>30</v>
      </c>
    </row>
    <row r="17" spans="1:10" x14ac:dyDescent="0.3">
      <c r="A17" t="s">
        <v>102</v>
      </c>
      <c r="B17">
        <f>D16/D15</f>
        <v>180.81000874962959</v>
      </c>
      <c r="C17" t="s">
        <v>91</v>
      </c>
      <c r="G17">
        <f>B17/16.0185</f>
        <v>11.287574289080101</v>
      </c>
      <c r="I17">
        <f>G17/(12^3)</f>
        <v>6.5321610469213547E-3</v>
      </c>
      <c r="J17" t="s">
        <v>195</v>
      </c>
    </row>
    <row r="19" spans="1:10" x14ac:dyDescent="0.3">
      <c r="A19" s="5" t="s">
        <v>105</v>
      </c>
    </row>
    <row r="20" spans="1:10" x14ac:dyDescent="0.3">
      <c r="A20" t="s">
        <v>95</v>
      </c>
      <c r="B20">
        <v>36</v>
      </c>
      <c r="C20" t="s">
        <v>35</v>
      </c>
    </row>
    <row r="21" spans="1:10" x14ac:dyDescent="0.3">
      <c r="A21" t="s">
        <v>96</v>
      </c>
      <c r="B21">
        <v>1</v>
      </c>
      <c r="C21" t="s">
        <v>35</v>
      </c>
    </row>
    <row r="22" spans="1:10" x14ac:dyDescent="0.3">
      <c r="A22" t="s">
        <v>97</v>
      </c>
      <c r="B22">
        <v>0.25</v>
      </c>
      <c r="C22" t="s">
        <v>35</v>
      </c>
    </row>
    <row r="23" spans="1:10" x14ac:dyDescent="0.3">
      <c r="A23" t="s">
        <v>98</v>
      </c>
      <c r="B23">
        <f>B20*B21*B22</f>
        <v>9</v>
      </c>
      <c r="C23" t="s">
        <v>90</v>
      </c>
      <c r="D23">
        <f>B23/(39.37^3)</f>
        <v>1.4748446090499565E-4</v>
      </c>
    </row>
    <row r="24" spans="1:10" x14ac:dyDescent="0.3">
      <c r="A24" t="s">
        <v>100</v>
      </c>
      <c r="B24">
        <v>15</v>
      </c>
      <c r="C24" t="s">
        <v>101</v>
      </c>
      <c r="D24">
        <f>B24/1000</f>
        <v>1.4999999999999999E-2</v>
      </c>
    </row>
    <row r="25" spans="1:10" x14ac:dyDescent="0.3">
      <c r="A25" t="s">
        <v>102</v>
      </c>
      <c r="B25">
        <f>D24/D23</f>
        <v>101.70562992166664</v>
      </c>
      <c r="C25" t="s">
        <v>91</v>
      </c>
    </row>
    <row r="27" spans="1:10" x14ac:dyDescent="0.3">
      <c r="A27" s="5" t="s">
        <v>106</v>
      </c>
    </row>
    <row r="28" spans="1:10" x14ac:dyDescent="0.3">
      <c r="A28" t="s">
        <v>95</v>
      </c>
      <c r="B28">
        <v>36</v>
      </c>
      <c r="C28" t="s">
        <v>35</v>
      </c>
    </row>
    <row r="29" spans="1:10" x14ac:dyDescent="0.3">
      <c r="A29" t="s">
        <v>96</v>
      </c>
      <c r="B29">
        <v>1</v>
      </c>
      <c r="C29" t="s">
        <v>35</v>
      </c>
    </row>
    <row r="30" spans="1:10" x14ac:dyDescent="0.3">
      <c r="A30" t="s">
        <v>97</v>
      </c>
      <c r="B30">
        <v>0.25</v>
      </c>
      <c r="C30" t="s">
        <v>35</v>
      </c>
    </row>
    <row r="31" spans="1:10" x14ac:dyDescent="0.3">
      <c r="A31" t="s">
        <v>98</v>
      </c>
      <c r="B31">
        <f>B28*B29*B30</f>
        <v>9</v>
      </c>
      <c r="C31" t="s">
        <v>90</v>
      </c>
      <c r="D31">
        <f>B31/(39.37^3)</f>
        <v>1.4748446090499565E-4</v>
      </c>
    </row>
    <row r="32" spans="1:10" x14ac:dyDescent="0.3">
      <c r="A32" t="s">
        <v>100</v>
      </c>
      <c r="B32">
        <v>16</v>
      </c>
      <c r="C32" t="s">
        <v>101</v>
      </c>
      <c r="D32">
        <f>B32/1000</f>
        <v>1.6E-2</v>
      </c>
    </row>
    <row r="33" spans="1:10" x14ac:dyDescent="0.3">
      <c r="A33" t="s">
        <v>102</v>
      </c>
      <c r="B33">
        <f>D32/D31</f>
        <v>108.48600524977776</v>
      </c>
      <c r="C33" t="s">
        <v>91</v>
      </c>
    </row>
    <row r="35" spans="1:10" x14ac:dyDescent="0.3">
      <c r="A35" s="5" t="s">
        <v>104</v>
      </c>
    </row>
    <row r="36" spans="1:10" x14ac:dyDescent="0.3">
      <c r="A36" t="s">
        <v>95</v>
      </c>
      <c r="B36">
        <v>36</v>
      </c>
      <c r="C36" t="s">
        <v>35</v>
      </c>
    </row>
    <row r="37" spans="1:10" x14ac:dyDescent="0.3">
      <c r="A37" t="s">
        <v>96</v>
      </c>
      <c r="B37">
        <v>3</v>
      </c>
      <c r="C37" t="s">
        <v>35</v>
      </c>
    </row>
    <row r="38" spans="1:10" x14ac:dyDescent="0.3">
      <c r="A38" t="s">
        <v>97</v>
      </c>
      <c r="B38">
        <f>3/16</f>
        <v>0.1875</v>
      </c>
      <c r="C38" t="s">
        <v>35</v>
      </c>
    </row>
    <row r="39" spans="1:10" x14ac:dyDescent="0.3">
      <c r="A39" t="s">
        <v>98</v>
      </c>
      <c r="B39">
        <f>B36*B37*B38</f>
        <v>20.25</v>
      </c>
      <c r="C39" t="s">
        <v>90</v>
      </c>
      <c r="D39">
        <f>B39/(39.37^3)</f>
        <v>3.318400370362402E-4</v>
      </c>
      <c r="E39" t="s">
        <v>99</v>
      </c>
    </row>
    <row r="40" spans="1:10" x14ac:dyDescent="0.3">
      <c r="A40" t="s">
        <v>100</v>
      </c>
      <c r="B40">
        <v>54</v>
      </c>
      <c r="C40" t="s">
        <v>101</v>
      </c>
      <c r="D40">
        <f>B40/1000</f>
        <v>5.3999999999999999E-2</v>
      </c>
      <c r="E40" t="s">
        <v>30</v>
      </c>
      <c r="F40">
        <f>D40*2.2</f>
        <v>0.1188</v>
      </c>
      <c r="G40" t="s">
        <v>31</v>
      </c>
      <c r="H40">
        <f>F40/B39</f>
        <v>5.8666666666666667E-3</v>
      </c>
    </row>
    <row r="41" spans="1:10" x14ac:dyDescent="0.3">
      <c r="A41" t="s">
        <v>102</v>
      </c>
      <c r="B41">
        <f>D40/D39</f>
        <v>162.72900787466665</v>
      </c>
      <c r="C41" t="s">
        <v>91</v>
      </c>
      <c r="G41">
        <f>B41/16.0185</f>
        <v>10.158816860172092</v>
      </c>
      <c r="I41">
        <f>G41/(12^3)</f>
        <v>5.8789449422292197E-3</v>
      </c>
      <c r="J41" t="s">
        <v>109</v>
      </c>
    </row>
    <row r="43" spans="1:10" x14ac:dyDescent="0.3">
      <c r="A43" s="5" t="s">
        <v>104</v>
      </c>
    </row>
    <row r="44" spans="1:10" x14ac:dyDescent="0.3">
      <c r="A44" t="s">
        <v>95</v>
      </c>
      <c r="B44">
        <v>36</v>
      </c>
      <c r="C44" t="s">
        <v>35</v>
      </c>
    </row>
    <row r="45" spans="1:10" x14ac:dyDescent="0.3">
      <c r="A45" t="s">
        <v>96</v>
      </c>
      <c r="B45">
        <v>3</v>
      </c>
      <c r="C45" t="s">
        <v>35</v>
      </c>
    </row>
    <row r="46" spans="1:10" x14ac:dyDescent="0.3">
      <c r="A46" t="s">
        <v>97</v>
      </c>
      <c r="B46">
        <v>0.13</v>
      </c>
      <c r="C46" t="s">
        <v>35</v>
      </c>
    </row>
    <row r="47" spans="1:10" x14ac:dyDescent="0.3">
      <c r="A47" t="s">
        <v>98</v>
      </c>
      <c r="B47">
        <f>B44*B45*B46</f>
        <v>14.040000000000001</v>
      </c>
      <c r="C47" t="s">
        <v>90</v>
      </c>
      <c r="D47">
        <f>B47/(39.37^3)</f>
        <v>2.3007575901179322E-4</v>
      </c>
      <c r="E47" t="s">
        <v>99</v>
      </c>
    </row>
    <row r="48" spans="1:10" x14ac:dyDescent="0.3">
      <c r="A48" t="s">
        <v>100</v>
      </c>
      <c r="B48">
        <v>49.5</v>
      </c>
      <c r="C48" t="s">
        <v>101</v>
      </c>
      <c r="D48">
        <f>B48/1000</f>
        <v>4.9500000000000002E-2</v>
      </c>
      <c r="E48" t="s">
        <v>30</v>
      </c>
    </row>
    <row r="49" spans="1:5" x14ac:dyDescent="0.3">
      <c r="A49" t="s">
        <v>102</v>
      </c>
      <c r="B49">
        <f>D48/D47</f>
        <v>215.14652483429484</v>
      </c>
      <c r="C49" t="s">
        <v>91</v>
      </c>
    </row>
    <row r="53" spans="1:5" s="8" customFormat="1" x14ac:dyDescent="0.3">
      <c r="A53" s="9" t="s">
        <v>107</v>
      </c>
    </row>
    <row r="54" spans="1:5" x14ac:dyDescent="0.3">
      <c r="A54" t="s">
        <v>95</v>
      </c>
      <c r="B54">
        <v>12</v>
      </c>
      <c r="C54" t="s">
        <v>35</v>
      </c>
    </row>
    <row r="55" spans="1:5" x14ac:dyDescent="0.3">
      <c r="A55" t="s">
        <v>96</v>
      </c>
      <c r="B55">
        <v>4</v>
      </c>
      <c r="C55" t="s">
        <v>35</v>
      </c>
    </row>
    <row r="56" spans="1:5" x14ac:dyDescent="0.3">
      <c r="A56" t="s">
        <v>97</v>
      </c>
      <c r="B56">
        <v>0.125</v>
      </c>
      <c r="C56" t="s">
        <v>35</v>
      </c>
    </row>
    <row r="57" spans="1:5" x14ac:dyDescent="0.3">
      <c r="A57" t="s">
        <v>98</v>
      </c>
      <c r="B57">
        <f>B54*B55*B56</f>
        <v>6</v>
      </c>
      <c r="C57" t="s">
        <v>90</v>
      </c>
      <c r="D57">
        <f>B57/(39.37^3)</f>
        <v>9.8322973936663764E-5</v>
      </c>
      <c r="E57" t="s">
        <v>99</v>
      </c>
    </row>
    <row r="58" spans="1:5" x14ac:dyDescent="0.3">
      <c r="A58" t="s">
        <v>100</v>
      </c>
      <c r="B58">
        <v>57</v>
      </c>
      <c r="C58" t="s">
        <v>101</v>
      </c>
      <c r="D58">
        <f>B58/1000</f>
        <v>5.7000000000000002E-2</v>
      </c>
      <c r="E58" t="s">
        <v>30</v>
      </c>
    </row>
    <row r="59" spans="1:5" x14ac:dyDescent="0.3">
      <c r="A59" t="s">
        <v>102</v>
      </c>
      <c r="B59">
        <f>D58/D57</f>
        <v>579.72209055349992</v>
      </c>
      <c r="C59" t="s">
        <v>91</v>
      </c>
    </row>
    <row r="62" spans="1:5" x14ac:dyDescent="0.3">
      <c r="A62" t="s">
        <v>95</v>
      </c>
      <c r="B62">
        <v>12</v>
      </c>
      <c r="C62" t="s">
        <v>35</v>
      </c>
    </row>
    <row r="63" spans="1:5" x14ac:dyDescent="0.3">
      <c r="A63" t="s">
        <v>96</v>
      </c>
      <c r="B63">
        <v>4</v>
      </c>
      <c r="C63" t="s">
        <v>35</v>
      </c>
    </row>
    <row r="64" spans="1:5" x14ac:dyDescent="0.3">
      <c r="A64" t="s">
        <v>97</v>
      </c>
      <c r="B64">
        <v>0.125</v>
      </c>
      <c r="C64" t="s">
        <v>35</v>
      </c>
    </row>
    <row r="65" spans="1:10" x14ac:dyDescent="0.3">
      <c r="A65" t="s">
        <v>98</v>
      </c>
      <c r="B65">
        <f>B62*B63*B64</f>
        <v>6</v>
      </c>
      <c r="C65" t="s">
        <v>90</v>
      </c>
      <c r="D65">
        <f>B65/(39.37^3)</f>
        <v>9.8322973936663764E-5</v>
      </c>
      <c r="E65" t="s">
        <v>99</v>
      </c>
    </row>
    <row r="66" spans="1:10" x14ac:dyDescent="0.3">
      <c r="A66" t="s">
        <v>100</v>
      </c>
      <c r="B66">
        <v>60</v>
      </c>
      <c r="C66" t="s">
        <v>101</v>
      </c>
      <c r="D66">
        <f>B66/1000</f>
        <v>0.06</v>
      </c>
      <c r="E66" t="s">
        <v>30</v>
      </c>
      <c r="F66">
        <f>D66*2.2</f>
        <v>0.13200000000000001</v>
      </c>
      <c r="G66" t="s">
        <v>31</v>
      </c>
      <c r="H66">
        <f>F66/B65</f>
        <v>2.2000000000000002E-2</v>
      </c>
    </row>
    <row r="67" spans="1:10" x14ac:dyDescent="0.3">
      <c r="A67" t="s">
        <v>102</v>
      </c>
      <c r="B67">
        <f>D66/D65</f>
        <v>610.23377952999988</v>
      </c>
      <c r="C67" t="s">
        <v>91</v>
      </c>
      <c r="G67">
        <f>B67/16.0185</f>
        <v>38.095563225645343</v>
      </c>
      <c r="H67" t="s">
        <v>108</v>
      </c>
      <c r="I67">
        <f>G67/(12^3)</f>
        <v>2.2046043533359573E-2</v>
      </c>
      <c r="J67" t="s">
        <v>109</v>
      </c>
    </row>
    <row r="69" spans="1:10" x14ac:dyDescent="0.3">
      <c r="A69" t="s">
        <v>95</v>
      </c>
      <c r="B69">
        <v>12</v>
      </c>
      <c r="C69" t="s">
        <v>35</v>
      </c>
    </row>
    <row r="70" spans="1:10" x14ac:dyDescent="0.3">
      <c r="A70" t="s">
        <v>96</v>
      </c>
      <c r="B70">
        <v>4</v>
      </c>
      <c r="C70" t="s">
        <v>35</v>
      </c>
    </row>
    <row r="71" spans="1:10" x14ac:dyDescent="0.3">
      <c r="A71" t="s">
        <v>97</v>
      </c>
      <c r="B71">
        <v>0.25</v>
      </c>
      <c r="C71" t="s">
        <v>35</v>
      </c>
    </row>
    <row r="72" spans="1:10" x14ac:dyDescent="0.3">
      <c r="A72" t="s">
        <v>98</v>
      </c>
      <c r="B72">
        <f>B69*B70*B71</f>
        <v>12</v>
      </c>
      <c r="C72" t="s">
        <v>90</v>
      </c>
      <c r="D72">
        <f>B72/(39.37^3)</f>
        <v>1.9664594787332753E-4</v>
      </c>
      <c r="E72" t="s">
        <v>99</v>
      </c>
    </row>
    <row r="73" spans="1:10" x14ac:dyDescent="0.3">
      <c r="A73" t="s">
        <v>100</v>
      </c>
      <c r="B73">
        <v>124</v>
      </c>
      <c r="C73" t="s">
        <v>101</v>
      </c>
      <c r="D73">
        <f>B73/1000</f>
        <v>0.124</v>
      </c>
      <c r="E73" t="s">
        <v>30</v>
      </c>
      <c r="F73">
        <f>D73*2.2</f>
        <v>0.27280000000000004</v>
      </c>
      <c r="G73" t="s">
        <v>31</v>
      </c>
      <c r="H73">
        <f>F73/B72</f>
        <v>2.2733333333333338E-2</v>
      </c>
    </row>
    <row r="74" spans="1:10" x14ac:dyDescent="0.3">
      <c r="A74" t="s">
        <v>102</v>
      </c>
      <c r="B74">
        <f>D73/D72</f>
        <v>630.57490551433318</v>
      </c>
      <c r="C74" t="s">
        <v>91</v>
      </c>
      <c r="G74">
        <f>B74/16.0185</f>
        <v>39.365415333166851</v>
      </c>
      <c r="I74">
        <f>G74/(12^3)</f>
        <v>2.2780911651138224E-2</v>
      </c>
      <c r="J74" t="s">
        <v>109</v>
      </c>
    </row>
    <row r="76" spans="1:10" x14ac:dyDescent="0.3">
      <c r="A76" t="s">
        <v>95</v>
      </c>
      <c r="B76">
        <v>12</v>
      </c>
      <c r="C76" t="s">
        <v>35</v>
      </c>
    </row>
    <row r="77" spans="1:10" x14ac:dyDescent="0.3">
      <c r="A77" t="s">
        <v>96</v>
      </c>
      <c r="B77">
        <v>4</v>
      </c>
      <c r="C77" t="s">
        <v>35</v>
      </c>
    </row>
    <row r="78" spans="1:10" x14ac:dyDescent="0.3">
      <c r="A78" t="s">
        <v>97</v>
      </c>
      <c r="B78">
        <v>0.25</v>
      </c>
      <c r="C78" t="s">
        <v>35</v>
      </c>
    </row>
    <row r="79" spans="1:10" x14ac:dyDescent="0.3">
      <c r="A79" t="s">
        <v>98</v>
      </c>
      <c r="B79">
        <f>B76*B77*B78</f>
        <v>12</v>
      </c>
      <c r="C79" t="s">
        <v>90</v>
      </c>
      <c r="D79">
        <f>B79/(39.37^3)</f>
        <v>1.9664594787332753E-4</v>
      </c>
      <c r="E79" t="s">
        <v>99</v>
      </c>
    </row>
    <row r="80" spans="1:10" x14ac:dyDescent="0.3">
      <c r="A80" t="s">
        <v>100</v>
      </c>
      <c r="B80">
        <v>124</v>
      </c>
      <c r="C80" t="s">
        <v>101</v>
      </c>
      <c r="D80">
        <f>B80/1000</f>
        <v>0.124</v>
      </c>
      <c r="E80" t="s">
        <v>30</v>
      </c>
      <c r="F80">
        <f>D80*2.2</f>
        <v>0.27280000000000004</v>
      </c>
      <c r="G80" t="s">
        <v>31</v>
      </c>
      <c r="H80">
        <f>F80/B79</f>
        <v>2.2733333333333338E-2</v>
      </c>
    </row>
    <row r="81" spans="1:10" x14ac:dyDescent="0.3">
      <c r="A81" t="s">
        <v>102</v>
      </c>
      <c r="B81">
        <f>D80/D79</f>
        <v>630.57490551433318</v>
      </c>
      <c r="C81" t="s">
        <v>91</v>
      </c>
      <c r="G81">
        <f>B81/16.0185</f>
        <v>39.365415333166851</v>
      </c>
      <c r="I81">
        <f>G81/(12^3)</f>
        <v>2.2780911651138224E-2</v>
      </c>
      <c r="J81" t="s">
        <v>109</v>
      </c>
    </row>
    <row r="85" spans="1:10" s="8" customFormat="1" x14ac:dyDescent="0.3">
      <c r="A85" s="7" t="s">
        <v>124</v>
      </c>
    </row>
    <row r="86" spans="1:10" x14ac:dyDescent="0.3">
      <c r="A86" s="5" t="s">
        <v>120</v>
      </c>
    </row>
    <row r="87" spans="1:10" x14ac:dyDescent="0.3">
      <c r="A87" t="s">
        <v>116</v>
      </c>
      <c r="B87">
        <v>6.18</v>
      </c>
      <c r="C87" t="s">
        <v>117</v>
      </c>
    </row>
    <row r="88" spans="1:10" x14ac:dyDescent="0.3">
      <c r="A88" t="s">
        <v>118</v>
      </c>
      <c r="B88">
        <v>2.33</v>
      </c>
      <c r="C88" t="s">
        <v>117</v>
      </c>
    </row>
    <row r="89" spans="1:10" x14ac:dyDescent="0.3">
      <c r="A89" t="s">
        <v>119</v>
      </c>
      <c r="B89">
        <v>0.32800000000000001</v>
      </c>
      <c r="C89" t="s">
        <v>51</v>
      </c>
    </row>
    <row r="90" spans="1:10" x14ac:dyDescent="0.3">
      <c r="A90" t="s">
        <v>111</v>
      </c>
      <c r="B90">
        <v>30.91</v>
      </c>
      <c r="C90" t="s">
        <v>52</v>
      </c>
    </row>
    <row r="91" spans="1:10" x14ac:dyDescent="0.3">
      <c r="A91" t="s">
        <v>112</v>
      </c>
      <c r="B91">
        <v>55.63</v>
      </c>
      <c r="C91" t="s">
        <v>52</v>
      </c>
    </row>
    <row r="92" spans="1:10" x14ac:dyDescent="0.3">
      <c r="A92" t="s">
        <v>113</v>
      </c>
      <c r="B92">
        <v>23.27</v>
      </c>
      <c r="C92" t="s">
        <v>52</v>
      </c>
    </row>
    <row r="93" spans="1:10" x14ac:dyDescent="0.3">
      <c r="A93" t="s">
        <v>114</v>
      </c>
      <c r="B93">
        <v>32.200000000000003</v>
      </c>
      <c r="C93" t="s">
        <v>52</v>
      </c>
    </row>
    <row r="94" spans="1:10" x14ac:dyDescent="0.3">
      <c r="A94" t="s">
        <v>115</v>
      </c>
      <c r="B94">
        <v>5.5300000000000002E-2</v>
      </c>
      <c r="C94" t="s">
        <v>109</v>
      </c>
    </row>
    <row r="97" spans="1:3" x14ac:dyDescent="0.3">
      <c r="A97" s="5" t="s">
        <v>121</v>
      </c>
    </row>
    <row r="98" spans="1:3" x14ac:dyDescent="0.3">
      <c r="A98" t="s">
        <v>116</v>
      </c>
      <c r="B98">
        <v>7.3</v>
      </c>
      <c r="C98" t="s">
        <v>122</v>
      </c>
    </row>
    <row r="99" spans="1:3" x14ac:dyDescent="0.3">
      <c r="A99" t="s">
        <v>118</v>
      </c>
      <c r="B99">
        <v>2.75</v>
      </c>
    </row>
    <row r="100" spans="1:3" x14ac:dyDescent="0.3">
      <c r="A100" t="s">
        <v>119</v>
      </c>
      <c r="B100">
        <v>0.32700000000000001</v>
      </c>
    </row>
    <row r="101" spans="1:3" x14ac:dyDescent="0.3">
      <c r="A101" t="s">
        <v>111</v>
      </c>
      <c r="B101">
        <v>14.6</v>
      </c>
    </row>
    <row r="102" spans="1:3" x14ac:dyDescent="0.3">
      <c r="A102" t="s">
        <v>112</v>
      </c>
      <c r="B102">
        <v>36.49</v>
      </c>
    </row>
    <row r="103" spans="1:3" x14ac:dyDescent="0.3">
      <c r="A103" t="s">
        <v>113</v>
      </c>
      <c r="B103">
        <v>11</v>
      </c>
    </row>
    <row r="104" spans="1:3" x14ac:dyDescent="0.3">
      <c r="A104" t="s">
        <v>115</v>
      </c>
      <c r="B104">
        <v>5.5899999999999998E-2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26"/>
  <sheetViews>
    <sheetView workbookViewId="0">
      <selection activeCell="H11" sqref="H11"/>
    </sheetView>
  </sheetViews>
  <sheetFormatPr defaultRowHeight="14.4" x14ac:dyDescent="0.3"/>
  <cols>
    <col min="1" max="1" width="23.44140625" bestFit="1" customWidth="1"/>
    <col min="2" max="3" width="15.5546875" customWidth="1"/>
    <col min="4" max="4" width="13.44140625" customWidth="1"/>
    <col min="5" max="5" width="23.5546875" customWidth="1"/>
    <col min="6" max="6" width="12" bestFit="1" customWidth="1"/>
    <col min="7" max="7" width="17.5546875" bestFit="1" customWidth="1"/>
    <col min="8" max="8" width="17.5546875" customWidth="1"/>
    <col min="9" max="9" width="14.77734375" bestFit="1" customWidth="1"/>
    <col min="13" max="13" width="10.21875" customWidth="1"/>
    <col min="14" max="14" width="12.44140625" customWidth="1"/>
    <col min="17" max="18" width="12.6640625" bestFit="1" customWidth="1"/>
    <col min="19" max="19" width="12" bestFit="1" customWidth="1"/>
  </cols>
  <sheetData>
    <row r="1" spans="1:20" x14ac:dyDescent="0.3">
      <c r="N1" t="s">
        <v>193</v>
      </c>
      <c r="O1">
        <v>2.2046E-2</v>
      </c>
    </row>
    <row r="3" spans="1:20" x14ac:dyDescent="0.3">
      <c r="N3" t="s">
        <v>194</v>
      </c>
      <c r="O3">
        <v>6.5230000000000002E-3</v>
      </c>
    </row>
    <row r="5" spans="1:20" x14ac:dyDescent="0.3">
      <c r="A5" s="14" t="s">
        <v>191</v>
      </c>
      <c r="B5" s="14" t="s">
        <v>49</v>
      </c>
      <c r="C5" s="14" t="s">
        <v>161</v>
      </c>
      <c r="D5" s="14" t="s">
        <v>198</v>
      </c>
      <c r="E5" s="14" t="s">
        <v>197</v>
      </c>
      <c r="F5" s="14" t="s">
        <v>280</v>
      </c>
      <c r="G5" s="14" t="s">
        <v>199</v>
      </c>
      <c r="H5" s="14" t="s">
        <v>208</v>
      </c>
      <c r="I5" s="14" t="s">
        <v>281</v>
      </c>
      <c r="J5" s="41" t="s">
        <v>328</v>
      </c>
      <c r="K5" s="41" t="s">
        <v>329</v>
      </c>
      <c r="L5" s="41" t="s">
        <v>330</v>
      </c>
      <c r="M5" s="41" t="s">
        <v>320</v>
      </c>
      <c r="N5" s="41" t="s">
        <v>324</v>
      </c>
      <c r="O5" s="41" t="s">
        <v>325</v>
      </c>
      <c r="P5" s="41" t="s">
        <v>331</v>
      </c>
      <c r="Q5" s="41" t="s">
        <v>339</v>
      </c>
      <c r="R5" s="41" t="s">
        <v>340</v>
      </c>
      <c r="S5" s="41" t="s">
        <v>341</v>
      </c>
    </row>
    <row r="6" spans="1:20" x14ac:dyDescent="0.3">
      <c r="A6" s="16" t="s">
        <v>202</v>
      </c>
      <c r="B6" s="25">
        <v>34.270000000000003</v>
      </c>
      <c r="C6" s="25">
        <v>0.125</v>
      </c>
      <c r="D6" s="25">
        <f>B6*C6</f>
        <v>4.2837500000000004</v>
      </c>
      <c r="E6" s="16">
        <f t="shared" ref="E6:E12" si="0">$O$1</f>
        <v>2.2046E-2</v>
      </c>
      <c r="F6" s="16">
        <f t="shared" ref="F6:F11" si="1">D6*E6</f>
        <v>9.443955250000001E-2</v>
      </c>
      <c r="G6" s="25">
        <v>1</v>
      </c>
      <c r="H6" s="25">
        <v>1</v>
      </c>
      <c r="I6" s="16">
        <f>G6*F6*H6</f>
        <v>9.443955250000001E-2</v>
      </c>
      <c r="J6">
        <v>-5.94</v>
      </c>
      <c r="K6">
        <v>0</v>
      </c>
      <c r="Q6" s="36">
        <f>$I6*J6</f>
        <v>-0.56097094185000007</v>
      </c>
      <c r="R6" s="36">
        <f>$I6*K6</f>
        <v>0</v>
      </c>
      <c r="S6" s="36">
        <f>$I6*L6</f>
        <v>0</v>
      </c>
    </row>
    <row r="7" spans="1:20" x14ac:dyDescent="0.3">
      <c r="A7" s="16" t="s">
        <v>201</v>
      </c>
      <c r="B7" s="25">
        <v>42.11</v>
      </c>
      <c r="C7" s="25">
        <v>0.125</v>
      </c>
      <c r="D7" s="16">
        <f>B7*C7</f>
        <v>5.2637499999999999</v>
      </c>
      <c r="E7" s="16">
        <f t="shared" si="0"/>
        <v>2.2046E-2</v>
      </c>
      <c r="F7" s="16">
        <f t="shared" si="1"/>
        <v>0.11604463249999999</v>
      </c>
      <c r="G7" s="16">
        <v>0.66659999999999997</v>
      </c>
      <c r="H7" s="16">
        <v>1</v>
      </c>
      <c r="I7" s="16">
        <f t="shared" ref="I7:I25" si="2">G7*F7*H7</f>
        <v>7.7355352024499988E-2</v>
      </c>
      <c r="J7">
        <v>1.06</v>
      </c>
      <c r="K7">
        <v>0</v>
      </c>
      <c r="Q7" s="36">
        <f t="shared" ref="Q7:Q12" si="3">$I7*J7</f>
        <v>8.1996673145969992E-2</v>
      </c>
      <c r="R7" s="36">
        <f t="shared" ref="R7:R12" si="4">$I7*K7</f>
        <v>0</v>
      </c>
      <c r="S7" s="36">
        <f t="shared" ref="S7:S12" si="5">$I7*L7</f>
        <v>0</v>
      </c>
    </row>
    <row r="8" spans="1:20" x14ac:dyDescent="0.3">
      <c r="A8" s="16" t="s">
        <v>203</v>
      </c>
      <c r="B8" s="25">
        <v>21.75</v>
      </c>
      <c r="C8" s="25">
        <v>0.125</v>
      </c>
      <c r="D8" s="16">
        <f>B8*C8</f>
        <v>2.71875</v>
      </c>
      <c r="E8" s="16">
        <f t="shared" si="0"/>
        <v>2.2046E-2</v>
      </c>
      <c r="F8" s="16">
        <f t="shared" si="1"/>
        <v>5.99375625E-2</v>
      </c>
      <c r="G8" s="16">
        <v>1</v>
      </c>
      <c r="H8" s="16">
        <v>1</v>
      </c>
      <c r="I8" s="16">
        <f t="shared" si="2"/>
        <v>5.99375625E-2</v>
      </c>
      <c r="J8">
        <v>12.06</v>
      </c>
      <c r="K8">
        <v>0</v>
      </c>
      <c r="Q8" s="36">
        <f t="shared" si="3"/>
        <v>0.72284700374999999</v>
      </c>
      <c r="R8" s="36">
        <f t="shared" si="4"/>
        <v>0</v>
      </c>
      <c r="S8" s="36">
        <f t="shared" si="5"/>
        <v>0</v>
      </c>
    </row>
    <row r="9" spans="1:20" x14ac:dyDescent="0.3">
      <c r="A9" s="16" t="s">
        <v>205</v>
      </c>
      <c r="B9" s="25">
        <v>14.02</v>
      </c>
      <c r="C9" s="25">
        <v>0.125</v>
      </c>
      <c r="D9" s="16">
        <f>B9*C9</f>
        <v>1.7524999999999999</v>
      </c>
      <c r="E9" s="16">
        <f t="shared" si="0"/>
        <v>2.2046E-2</v>
      </c>
      <c r="F9" s="16">
        <f t="shared" si="1"/>
        <v>3.8635614999999998E-2</v>
      </c>
      <c r="G9" s="16">
        <v>1</v>
      </c>
      <c r="H9" s="16">
        <v>1</v>
      </c>
      <c r="I9" s="16">
        <f t="shared" si="2"/>
        <v>3.8635614999999998E-2</v>
      </c>
      <c r="J9">
        <v>22.06</v>
      </c>
      <c r="K9">
        <v>0</v>
      </c>
      <c r="L9">
        <v>-0.37</v>
      </c>
      <c r="M9">
        <v>0.24</v>
      </c>
      <c r="N9">
        <v>0.18</v>
      </c>
      <c r="O9">
        <v>0.06</v>
      </c>
      <c r="P9">
        <v>0</v>
      </c>
      <c r="Q9" s="36">
        <f t="shared" si="3"/>
        <v>0.85230166689999987</v>
      </c>
      <c r="R9" s="36">
        <f t="shared" si="4"/>
        <v>0</v>
      </c>
      <c r="S9" s="36">
        <f t="shared" si="5"/>
        <v>-1.429517755E-2</v>
      </c>
    </row>
    <row r="10" spans="1:20" x14ac:dyDescent="0.3">
      <c r="A10" s="16" t="s">
        <v>204</v>
      </c>
      <c r="B10" s="25">
        <v>8.9600000000000009</v>
      </c>
      <c r="C10" s="25">
        <v>0.125</v>
      </c>
      <c r="D10" s="16">
        <v>0.61</v>
      </c>
      <c r="E10" s="16">
        <f t="shared" si="0"/>
        <v>2.2046E-2</v>
      </c>
      <c r="F10" s="16">
        <f t="shared" si="1"/>
        <v>1.344806E-2</v>
      </c>
      <c r="G10" s="16">
        <v>0.66600000000000004</v>
      </c>
      <c r="H10" s="16">
        <v>1</v>
      </c>
      <c r="I10" s="16">
        <f t="shared" si="2"/>
        <v>8.9564079600000009E-3</v>
      </c>
      <c r="J10">
        <v>31.56</v>
      </c>
      <c r="K10">
        <v>0</v>
      </c>
      <c r="L10">
        <v>-0.93</v>
      </c>
      <c r="M10">
        <v>0.02</v>
      </c>
      <c r="N10">
        <v>0.02</v>
      </c>
      <c r="O10">
        <v>0</v>
      </c>
      <c r="P10">
        <v>0</v>
      </c>
      <c r="Q10" s="36">
        <f t="shared" si="3"/>
        <v>0.28266423521760004</v>
      </c>
      <c r="R10" s="36">
        <f t="shared" si="4"/>
        <v>0</v>
      </c>
      <c r="S10" s="36">
        <f t="shared" si="5"/>
        <v>-8.3294594028000008E-3</v>
      </c>
    </row>
    <row r="11" spans="1:20" x14ac:dyDescent="0.3">
      <c r="A11" s="16" t="s">
        <v>192</v>
      </c>
      <c r="B11" s="16"/>
      <c r="C11" s="16"/>
      <c r="D11" s="16">
        <v>3.7</v>
      </c>
      <c r="E11" s="16">
        <f t="shared" si="0"/>
        <v>2.2046E-2</v>
      </c>
      <c r="F11" s="16">
        <f t="shared" si="1"/>
        <v>8.1570200000000009E-2</v>
      </c>
      <c r="G11" s="16">
        <v>1</v>
      </c>
      <c r="H11" s="16">
        <v>2</v>
      </c>
      <c r="I11" s="16">
        <f t="shared" si="2"/>
        <v>0.16314040000000002</v>
      </c>
      <c r="J11">
        <v>23.99</v>
      </c>
      <c r="K11">
        <v>1.7</v>
      </c>
      <c r="L11">
        <v>-1.71</v>
      </c>
      <c r="M11">
        <v>0.31</v>
      </c>
      <c r="N11">
        <v>8.23</v>
      </c>
      <c r="O11">
        <v>8.06</v>
      </c>
      <c r="P11">
        <v>0.31</v>
      </c>
      <c r="Q11" s="36">
        <f t="shared" si="3"/>
        <v>3.9137381960000002</v>
      </c>
      <c r="R11" s="36">
        <f t="shared" si="4"/>
        <v>0.27733868</v>
      </c>
      <c r="S11" s="36">
        <f t="shared" si="5"/>
        <v>-0.27897008400000001</v>
      </c>
      <c r="T11" t="s">
        <v>343</v>
      </c>
    </row>
    <row r="12" spans="1:20" x14ac:dyDescent="0.3">
      <c r="A12" s="16" t="s">
        <v>207</v>
      </c>
      <c r="B12" s="25">
        <v>32.56</v>
      </c>
      <c r="C12" s="25">
        <v>0.125</v>
      </c>
      <c r="D12" s="16">
        <f>B12*C12</f>
        <v>4.07</v>
      </c>
      <c r="E12" s="16">
        <f t="shared" si="0"/>
        <v>2.2046E-2</v>
      </c>
      <c r="F12" s="16">
        <f t="shared" ref="F12:F25" si="6">D12*E12</f>
        <v>8.972722000000001E-2</v>
      </c>
      <c r="G12" s="16">
        <v>1</v>
      </c>
      <c r="H12" s="16">
        <v>2</v>
      </c>
      <c r="I12" s="16">
        <f t="shared" si="2"/>
        <v>0.17945444000000002</v>
      </c>
      <c r="J12">
        <v>2.99</v>
      </c>
      <c r="K12">
        <v>2.44</v>
      </c>
      <c r="L12">
        <v>-1.64</v>
      </c>
      <c r="M12">
        <v>0.57999999999999996</v>
      </c>
      <c r="N12">
        <v>5.35</v>
      </c>
      <c r="O12">
        <v>4.7699999999999996</v>
      </c>
      <c r="P12">
        <v>-0.1</v>
      </c>
      <c r="Q12" s="36">
        <f t="shared" si="3"/>
        <v>0.53656877560000005</v>
      </c>
      <c r="R12" s="36">
        <f t="shared" si="4"/>
        <v>0.43786883360000006</v>
      </c>
      <c r="S12" s="36">
        <f t="shared" si="5"/>
        <v>-0.29430528160000002</v>
      </c>
      <c r="T12" t="s">
        <v>343</v>
      </c>
    </row>
    <row r="13" spans="1:20" x14ac:dyDescent="0.3">
      <c r="A13" s="16" t="s">
        <v>209</v>
      </c>
      <c r="B13" s="25">
        <v>198.72</v>
      </c>
      <c r="C13" s="25">
        <v>6.25E-2</v>
      </c>
      <c r="D13" s="16">
        <f t="shared" ref="D13:D25" si="7">B13*C13</f>
        <v>12.42</v>
      </c>
      <c r="E13" s="16">
        <f>O3</f>
        <v>6.5230000000000002E-3</v>
      </c>
      <c r="F13" s="16">
        <f t="shared" si="6"/>
        <v>8.1015660000000003E-2</v>
      </c>
      <c r="G13" s="16">
        <v>1</v>
      </c>
      <c r="H13" s="16">
        <v>1</v>
      </c>
      <c r="I13" s="16">
        <f t="shared" si="2"/>
        <v>8.1015660000000003E-2</v>
      </c>
      <c r="Q13" s="36">
        <f t="shared" ref="Q13:Q25" si="8">$I13*J13</f>
        <v>0</v>
      </c>
      <c r="R13" s="36">
        <f t="shared" ref="R13:R25" si="9">$I13*K13</f>
        <v>0</v>
      </c>
      <c r="S13" s="36">
        <f t="shared" ref="S13:S25" si="10">$I13*L13</f>
        <v>0</v>
      </c>
    </row>
    <row r="14" spans="1:20" x14ac:dyDescent="0.3">
      <c r="A14" s="16" t="s">
        <v>214</v>
      </c>
      <c r="B14" s="25">
        <f>0.375^2</f>
        <v>0.140625</v>
      </c>
      <c r="C14" s="25">
        <v>24</v>
      </c>
      <c r="D14" s="16">
        <f t="shared" si="7"/>
        <v>3.375</v>
      </c>
      <c r="E14" s="16">
        <f>O3</f>
        <v>6.5230000000000002E-3</v>
      </c>
      <c r="F14" s="16">
        <f t="shared" si="6"/>
        <v>2.2015125E-2</v>
      </c>
      <c r="G14" s="16">
        <v>1</v>
      </c>
      <c r="H14" s="16">
        <v>1</v>
      </c>
      <c r="I14" s="16">
        <f t="shared" si="2"/>
        <v>2.2015125E-2</v>
      </c>
      <c r="Q14" s="36">
        <f t="shared" si="8"/>
        <v>0</v>
      </c>
      <c r="R14" s="36">
        <f t="shared" si="9"/>
        <v>0</v>
      </c>
      <c r="S14" s="36">
        <f t="shared" si="10"/>
        <v>0</v>
      </c>
    </row>
    <row r="15" spans="1:20" x14ac:dyDescent="0.3">
      <c r="A15" s="16" t="s">
        <v>212</v>
      </c>
      <c r="B15" s="25">
        <v>127.23</v>
      </c>
      <c r="C15" s="25">
        <v>6.25E-2</v>
      </c>
      <c r="D15" s="16">
        <f t="shared" si="7"/>
        <v>7.9518750000000002</v>
      </c>
      <c r="E15" s="16">
        <f>O3</f>
        <v>6.5230000000000002E-3</v>
      </c>
      <c r="F15" s="16">
        <f t="shared" si="6"/>
        <v>5.1870080625000002E-2</v>
      </c>
      <c r="G15" s="16">
        <v>1</v>
      </c>
      <c r="H15" s="16">
        <v>1</v>
      </c>
      <c r="I15" s="16">
        <f t="shared" si="2"/>
        <v>5.1870080625000002E-2</v>
      </c>
      <c r="Q15" s="36">
        <f t="shared" si="8"/>
        <v>0</v>
      </c>
      <c r="R15" s="36">
        <f t="shared" si="9"/>
        <v>0</v>
      </c>
      <c r="S15" s="36">
        <f t="shared" si="10"/>
        <v>0</v>
      </c>
    </row>
    <row r="16" spans="1:20" x14ac:dyDescent="0.3">
      <c r="A16" s="26" t="s">
        <v>213</v>
      </c>
      <c r="B16" s="26"/>
      <c r="C16" s="26"/>
      <c r="D16" s="26">
        <f t="shared" si="7"/>
        <v>0</v>
      </c>
      <c r="E16" s="26"/>
      <c r="F16" s="26">
        <f t="shared" si="6"/>
        <v>0</v>
      </c>
      <c r="G16" s="26">
        <v>1</v>
      </c>
      <c r="H16" s="26">
        <v>1</v>
      </c>
      <c r="I16" s="26">
        <f t="shared" si="2"/>
        <v>0</v>
      </c>
      <c r="J16" s="12"/>
      <c r="K16" s="12"/>
      <c r="L16" s="12"/>
      <c r="M16" s="12"/>
      <c r="Q16" s="36">
        <f t="shared" si="8"/>
        <v>0</v>
      </c>
      <c r="R16" s="36">
        <f t="shared" si="9"/>
        <v>0</v>
      </c>
      <c r="S16" s="36">
        <f t="shared" si="10"/>
        <v>0</v>
      </c>
    </row>
    <row r="17" spans="1:19" x14ac:dyDescent="0.3">
      <c r="A17" s="16" t="s">
        <v>215</v>
      </c>
      <c r="B17" s="25">
        <v>56.9</v>
      </c>
      <c r="C17" s="25">
        <v>6.25E-2</v>
      </c>
      <c r="D17" s="16">
        <f t="shared" si="7"/>
        <v>3.5562499999999999</v>
      </c>
      <c r="E17" s="16">
        <f>O3</f>
        <v>6.5230000000000002E-3</v>
      </c>
      <c r="F17" s="16">
        <f t="shared" si="6"/>
        <v>2.3197418750000001E-2</v>
      </c>
      <c r="G17" s="16">
        <v>1</v>
      </c>
      <c r="H17" s="16">
        <v>1</v>
      </c>
      <c r="I17" s="16">
        <f t="shared" si="2"/>
        <v>2.3197418750000001E-2</v>
      </c>
      <c r="J17">
        <v>-2.4</v>
      </c>
      <c r="K17">
        <v>0</v>
      </c>
      <c r="L17">
        <v>1.45</v>
      </c>
      <c r="M17">
        <v>1</v>
      </c>
      <c r="N17">
        <v>1.07</v>
      </c>
      <c r="O17">
        <v>1.87</v>
      </c>
      <c r="P17">
        <v>0.02</v>
      </c>
      <c r="Q17" s="36">
        <f t="shared" si="8"/>
        <v>-5.5673805E-2</v>
      </c>
      <c r="R17" s="36">
        <f t="shared" si="9"/>
        <v>0</v>
      </c>
      <c r="S17" s="36">
        <f t="shared" si="10"/>
        <v>3.3636257187499997E-2</v>
      </c>
    </row>
    <row r="18" spans="1:19" x14ac:dyDescent="0.3">
      <c r="A18" s="16"/>
      <c r="B18" s="16"/>
      <c r="C18" s="16"/>
      <c r="D18" s="16">
        <f t="shared" si="7"/>
        <v>0</v>
      </c>
      <c r="E18" s="16"/>
      <c r="F18" s="16">
        <f t="shared" si="6"/>
        <v>0</v>
      </c>
      <c r="G18" s="16"/>
      <c r="H18" s="16"/>
      <c r="I18" s="16">
        <f t="shared" si="2"/>
        <v>0</v>
      </c>
      <c r="Q18" s="36">
        <f t="shared" si="8"/>
        <v>0</v>
      </c>
      <c r="R18" s="36">
        <f t="shared" si="9"/>
        <v>0</v>
      </c>
      <c r="S18" s="36">
        <f t="shared" si="10"/>
        <v>0</v>
      </c>
    </row>
    <row r="19" spans="1:19" x14ac:dyDescent="0.3">
      <c r="A19" s="16"/>
      <c r="B19" s="16"/>
      <c r="C19" s="16"/>
      <c r="D19" s="16">
        <f t="shared" si="7"/>
        <v>0</v>
      </c>
      <c r="E19" s="16"/>
      <c r="F19" s="16">
        <f t="shared" si="6"/>
        <v>0</v>
      </c>
      <c r="G19" s="16"/>
      <c r="H19" s="16"/>
      <c r="I19" s="16">
        <f t="shared" si="2"/>
        <v>0</v>
      </c>
      <c r="Q19" s="36">
        <f t="shared" si="8"/>
        <v>0</v>
      </c>
      <c r="R19" s="36">
        <f t="shared" si="9"/>
        <v>0</v>
      </c>
      <c r="S19" s="36">
        <f t="shared" si="10"/>
        <v>0</v>
      </c>
    </row>
    <row r="20" spans="1:19" x14ac:dyDescent="0.3">
      <c r="A20" s="16"/>
      <c r="B20" s="16"/>
      <c r="C20" s="16"/>
      <c r="D20" s="16">
        <f t="shared" si="7"/>
        <v>0</v>
      </c>
      <c r="E20" s="16"/>
      <c r="F20" s="16">
        <f t="shared" si="6"/>
        <v>0</v>
      </c>
      <c r="G20" s="16"/>
      <c r="H20" s="16"/>
      <c r="I20" s="16">
        <f t="shared" si="2"/>
        <v>0</v>
      </c>
      <c r="Q20" s="36">
        <f t="shared" si="8"/>
        <v>0</v>
      </c>
      <c r="R20" s="36">
        <f t="shared" si="9"/>
        <v>0</v>
      </c>
      <c r="S20" s="36">
        <f t="shared" si="10"/>
        <v>0</v>
      </c>
    </row>
    <row r="21" spans="1:19" x14ac:dyDescent="0.3">
      <c r="A21" s="16"/>
      <c r="B21" s="16"/>
      <c r="C21" s="16"/>
      <c r="D21" s="16">
        <f t="shared" si="7"/>
        <v>0</v>
      </c>
      <c r="E21" s="16"/>
      <c r="F21" s="16">
        <f t="shared" si="6"/>
        <v>0</v>
      </c>
      <c r="G21" s="16"/>
      <c r="H21" s="16"/>
      <c r="I21" s="16">
        <f t="shared" si="2"/>
        <v>0</v>
      </c>
      <c r="Q21" s="36">
        <f t="shared" si="8"/>
        <v>0</v>
      </c>
      <c r="R21" s="36">
        <f t="shared" si="9"/>
        <v>0</v>
      </c>
      <c r="S21" s="36">
        <f t="shared" si="10"/>
        <v>0</v>
      </c>
    </row>
    <row r="22" spans="1:19" x14ac:dyDescent="0.3">
      <c r="A22" s="16"/>
      <c r="B22" s="16"/>
      <c r="C22" s="16"/>
      <c r="D22" s="16">
        <f t="shared" si="7"/>
        <v>0</v>
      </c>
      <c r="E22" s="16"/>
      <c r="F22" s="16">
        <f t="shared" si="6"/>
        <v>0</v>
      </c>
      <c r="G22" s="16"/>
      <c r="H22" s="16"/>
      <c r="I22" s="16">
        <f t="shared" si="2"/>
        <v>0</v>
      </c>
      <c r="Q22" s="36">
        <f t="shared" si="8"/>
        <v>0</v>
      </c>
      <c r="R22" s="36">
        <f t="shared" si="9"/>
        <v>0</v>
      </c>
      <c r="S22" s="36">
        <f t="shared" si="10"/>
        <v>0</v>
      </c>
    </row>
    <row r="23" spans="1:19" x14ac:dyDescent="0.3">
      <c r="A23" s="16"/>
      <c r="B23" s="16"/>
      <c r="C23" s="16"/>
      <c r="D23" s="16">
        <f t="shared" si="7"/>
        <v>0</v>
      </c>
      <c r="E23" s="16"/>
      <c r="F23" s="16">
        <f t="shared" si="6"/>
        <v>0</v>
      </c>
      <c r="G23" s="16"/>
      <c r="H23" s="16"/>
      <c r="I23" s="16">
        <f t="shared" si="2"/>
        <v>0</v>
      </c>
      <c r="Q23" s="36">
        <f t="shared" si="8"/>
        <v>0</v>
      </c>
      <c r="R23" s="36">
        <f t="shared" si="9"/>
        <v>0</v>
      </c>
      <c r="S23" s="36">
        <f t="shared" si="10"/>
        <v>0</v>
      </c>
    </row>
    <row r="24" spans="1:19" x14ac:dyDescent="0.3">
      <c r="A24" s="16"/>
      <c r="B24" s="16"/>
      <c r="C24" s="16"/>
      <c r="D24" s="16">
        <f t="shared" si="7"/>
        <v>0</v>
      </c>
      <c r="E24" s="16"/>
      <c r="F24" s="16">
        <f t="shared" si="6"/>
        <v>0</v>
      </c>
      <c r="G24" s="16"/>
      <c r="H24" s="16"/>
      <c r="I24" s="16">
        <f t="shared" si="2"/>
        <v>0</v>
      </c>
      <c r="Q24" s="36">
        <f t="shared" si="8"/>
        <v>0</v>
      </c>
      <c r="R24" s="36">
        <f t="shared" si="9"/>
        <v>0</v>
      </c>
      <c r="S24" s="36">
        <f t="shared" si="10"/>
        <v>0</v>
      </c>
    </row>
    <row r="25" spans="1:19" ht="15" thickBot="1" x14ac:dyDescent="0.35">
      <c r="A25" s="16"/>
      <c r="B25" s="16"/>
      <c r="C25" s="16"/>
      <c r="D25" s="16">
        <f t="shared" si="7"/>
        <v>0</v>
      </c>
      <c r="E25" s="16"/>
      <c r="F25" s="16">
        <f t="shared" si="6"/>
        <v>0</v>
      </c>
      <c r="G25" s="27"/>
      <c r="H25" s="27"/>
      <c r="I25" s="27">
        <f t="shared" si="2"/>
        <v>0</v>
      </c>
      <c r="Q25" s="36">
        <f t="shared" si="8"/>
        <v>0</v>
      </c>
      <c r="R25" s="36">
        <f t="shared" si="9"/>
        <v>0</v>
      </c>
      <c r="S25" s="36">
        <f t="shared" si="10"/>
        <v>0</v>
      </c>
    </row>
    <row r="26" spans="1:19" x14ac:dyDescent="0.3">
      <c r="G26" s="28" t="s">
        <v>206</v>
      </c>
      <c r="H26" s="29"/>
      <c r="I26" s="29">
        <f>SUM(I6:I25)</f>
        <v>0.80001761435950014</v>
      </c>
      <c r="J26" s="30" t="s">
        <v>93</v>
      </c>
      <c r="Q26" s="36"/>
      <c r="R26" s="36"/>
      <c r="S26" s="36"/>
    </row>
    <row r="27" spans="1:19" x14ac:dyDescent="0.3">
      <c r="G27" s="31" t="s">
        <v>210</v>
      </c>
      <c r="I27">
        <v>1.2</v>
      </c>
      <c r="J27" s="32" t="s">
        <v>51</v>
      </c>
    </row>
    <row r="28" spans="1:19" ht="15" thickBot="1" x14ac:dyDescent="0.35">
      <c r="G28" s="33" t="s">
        <v>211</v>
      </c>
      <c r="H28" s="34"/>
      <c r="I28" s="34">
        <f>I26*I27</f>
        <v>0.96002113723140015</v>
      </c>
      <c r="J28" s="35"/>
    </row>
    <row r="33" spans="1:19" x14ac:dyDescent="0.3">
      <c r="A33" s="13" t="s">
        <v>217</v>
      </c>
      <c r="B33" s="13" t="s">
        <v>49</v>
      </c>
      <c r="C33" s="13" t="s">
        <v>161</v>
      </c>
      <c r="D33" s="13" t="s">
        <v>198</v>
      </c>
      <c r="E33" s="13" t="s">
        <v>197</v>
      </c>
      <c r="F33" s="13" t="s">
        <v>196</v>
      </c>
      <c r="G33" s="13" t="s">
        <v>199</v>
      </c>
      <c r="H33" s="13" t="s">
        <v>208</v>
      </c>
      <c r="I33" s="13" t="s">
        <v>200</v>
      </c>
      <c r="J33" s="41" t="s">
        <v>328</v>
      </c>
      <c r="K33" s="41" t="s">
        <v>329</v>
      </c>
      <c r="L33" s="41" t="s">
        <v>330</v>
      </c>
      <c r="M33" s="41" t="s">
        <v>320</v>
      </c>
      <c r="N33" s="41" t="s">
        <v>324</v>
      </c>
      <c r="O33" s="41" t="s">
        <v>325</v>
      </c>
      <c r="P33" s="41" t="s">
        <v>331</v>
      </c>
      <c r="Q33" s="41" t="s">
        <v>339</v>
      </c>
      <c r="R33" s="41" t="s">
        <v>340</v>
      </c>
      <c r="S33" s="41" t="s">
        <v>341</v>
      </c>
    </row>
    <row r="34" spans="1:19" x14ac:dyDescent="0.3">
      <c r="A34" t="s">
        <v>94</v>
      </c>
      <c r="I34">
        <v>0.59499999999999997</v>
      </c>
    </row>
    <row r="35" spans="1:19" x14ac:dyDescent="0.3">
      <c r="A35" t="s">
        <v>218</v>
      </c>
      <c r="F35">
        <v>0.17599999999999999</v>
      </c>
      <c r="G35">
        <v>0.66600000000000004</v>
      </c>
      <c r="H35">
        <v>2</v>
      </c>
      <c r="I35">
        <f>F35*G35*H35</f>
        <v>0.234432</v>
      </c>
    </row>
    <row r="37" spans="1:19" x14ac:dyDescent="0.3">
      <c r="G37" t="s">
        <v>220</v>
      </c>
      <c r="I37">
        <f>SUM(I34:I36)</f>
        <v>0.82943199999999995</v>
      </c>
      <c r="J37" t="s">
        <v>93</v>
      </c>
    </row>
    <row r="38" spans="1:19" x14ac:dyDescent="0.3">
      <c r="G38" t="s">
        <v>210</v>
      </c>
      <c r="I38">
        <v>1.2</v>
      </c>
      <c r="J38" t="s">
        <v>51</v>
      </c>
    </row>
    <row r="39" spans="1:19" x14ac:dyDescent="0.3">
      <c r="G39" t="s">
        <v>219</v>
      </c>
      <c r="I39">
        <f>I37*I38</f>
        <v>0.99531839999999994</v>
      </c>
      <c r="J39" t="s">
        <v>93</v>
      </c>
    </row>
    <row r="41" spans="1:19" x14ac:dyDescent="0.3">
      <c r="A41" s="14" t="s">
        <v>282</v>
      </c>
      <c r="B41" s="14" t="s">
        <v>49</v>
      </c>
      <c r="C41" s="14" t="s">
        <v>294</v>
      </c>
      <c r="D41" s="14" t="s">
        <v>198</v>
      </c>
      <c r="E41" s="14" t="s">
        <v>197</v>
      </c>
      <c r="F41" s="14" t="s">
        <v>258</v>
      </c>
      <c r="G41" s="14" t="s">
        <v>199</v>
      </c>
      <c r="H41" s="14" t="s">
        <v>208</v>
      </c>
      <c r="I41" s="14" t="s">
        <v>200</v>
      </c>
    </row>
    <row r="42" spans="1:19" x14ac:dyDescent="0.3">
      <c r="A42" s="16" t="s">
        <v>256</v>
      </c>
      <c r="B42" s="16"/>
      <c r="C42" s="16"/>
      <c r="D42" s="16"/>
      <c r="E42" s="16"/>
      <c r="F42" s="16">
        <v>0.159</v>
      </c>
      <c r="G42" s="16">
        <v>1</v>
      </c>
      <c r="H42" s="16">
        <v>2</v>
      </c>
      <c r="I42" s="16">
        <f>G42*F42*H42*2.2046</f>
        <v>0.7010628000000001</v>
      </c>
      <c r="K42" t="s">
        <v>346</v>
      </c>
    </row>
    <row r="43" spans="1:19" x14ac:dyDescent="0.3">
      <c r="A43" s="16" t="s">
        <v>344</v>
      </c>
      <c r="B43" s="26">
        <v>8.7500000000000008E-3</v>
      </c>
      <c r="C43" s="16">
        <v>29.5</v>
      </c>
      <c r="D43" s="16">
        <f>B43*C43</f>
        <v>0.25812500000000005</v>
      </c>
      <c r="E43" s="16">
        <f>O3</f>
        <v>6.5230000000000002E-3</v>
      </c>
      <c r="F43" s="26">
        <v>2.9000000000000001E-2</v>
      </c>
      <c r="G43" s="16">
        <v>1</v>
      </c>
      <c r="H43" s="16">
        <v>2</v>
      </c>
      <c r="I43" s="16">
        <f>G43*F43*H43*2.2046</f>
        <v>0.1278668</v>
      </c>
      <c r="K43" t="s">
        <v>345</v>
      </c>
    </row>
    <row r="44" spans="1:19" x14ac:dyDescent="0.3">
      <c r="A44" s="16" t="s">
        <v>259</v>
      </c>
      <c r="B44" s="16"/>
      <c r="C44" s="16"/>
      <c r="D44" s="16"/>
      <c r="E44" s="16"/>
      <c r="F44" s="16">
        <v>6.5000000000000002E-2</v>
      </c>
      <c r="G44" s="16">
        <v>1</v>
      </c>
      <c r="H44" s="16">
        <v>1</v>
      </c>
      <c r="I44" s="16">
        <f>G44*F44*H44*2.2046</f>
        <v>0.14329900000000001</v>
      </c>
    </row>
    <row r="45" spans="1:19" x14ac:dyDescent="0.3">
      <c r="A45" s="16" t="s">
        <v>257</v>
      </c>
      <c r="B45" s="16">
        <v>10</v>
      </c>
      <c r="C45" s="16"/>
      <c r="D45" s="16"/>
      <c r="E45" s="16">
        <v>5.0000000000000001E-3</v>
      </c>
      <c r="F45" s="16">
        <f>B45*E45</f>
        <v>0.05</v>
      </c>
      <c r="G45" s="16">
        <v>1</v>
      </c>
      <c r="H45" s="16">
        <v>1</v>
      </c>
      <c r="I45" s="16">
        <f>G45*F45*H45*2.2046</f>
        <v>0.11023000000000001</v>
      </c>
      <c r="K45" t="s">
        <v>310</v>
      </c>
    </row>
    <row r="46" spans="1:19" ht="15" thickBot="1" x14ac:dyDescent="0.35">
      <c r="F46">
        <f>I47/2.2046</f>
        <v>0.4910000000000001</v>
      </c>
    </row>
    <row r="47" spans="1:19" x14ac:dyDescent="0.3">
      <c r="H47" s="28" t="s">
        <v>279</v>
      </c>
      <c r="I47" s="29">
        <f>SUM(I42:I45)</f>
        <v>1.0824586000000003</v>
      </c>
      <c r="J47" s="30" t="s">
        <v>278</v>
      </c>
    </row>
    <row r="48" spans="1:19" x14ac:dyDescent="0.3">
      <c r="H48" s="31" t="s">
        <v>260</v>
      </c>
      <c r="I48">
        <v>1</v>
      </c>
      <c r="J48" s="32" t="s">
        <v>261</v>
      </c>
    </row>
    <row r="49" spans="1:19" ht="15" thickBot="1" x14ac:dyDescent="0.35">
      <c r="H49" s="33" t="s">
        <v>262</v>
      </c>
      <c r="I49" s="34">
        <f>I47*I48</f>
        <v>1.0824586000000003</v>
      </c>
      <c r="J49" s="35" t="s">
        <v>278</v>
      </c>
    </row>
    <row r="51" spans="1:19" x14ac:dyDescent="0.3">
      <c r="A51" s="14" t="s">
        <v>283</v>
      </c>
      <c r="B51" s="14" t="s">
        <v>3</v>
      </c>
      <c r="C51" s="14" t="s">
        <v>294</v>
      </c>
      <c r="D51" s="14" t="s">
        <v>198</v>
      </c>
      <c r="E51" s="14" t="s">
        <v>197</v>
      </c>
      <c r="F51" s="14" t="s">
        <v>280</v>
      </c>
      <c r="G51" s="14" t="s">
        <v>199</v>
      </c>
      <c r="H51" s="14" t="s">
        <v>208</v>
      </c>
      <c r="I51" s="14" t="s">
        <v>281</v>
      </c>
      <c r="J51" s="41" t="s">
        <v>328</v>
      </c>
      <c r="K51" s="41" t="s">
        <v>329</v>
      </c>
      <c r="L51" s="41" t="s">
        <v>330</v>
      </c>
      <c r="M51" s="41" t="s">
        <v>320</v>
      </c>
      <c r="N51" s="41" t="s">
        <v>324</v>
      </c>
      <c r="O51" s="41" t="s">
        <v>325</v>
      </c>
      <c r="P51" s="41" t="s">
        <v>331</v>
      </c>
      <c r="Q51" s="41" t="s">
        <v>339</v>
      </c>
      <c r="R51" s="41" t="s">
        <v>340</v>
      </c>
      <c r="S51" s="41" t="s">
        <v>341</v>
      </c>
    </row>
    <row r="52" spans="1:19" x14ac:dyDescent="0.3">
      <c r="A52" s="16" t="s">
        <v>300</v>
      </c>
      <c r="B52" s="25">
        <v>2.91</v>
      </c>
      <c r="C52" s="25">
        <v>0.125</v>
      </c>
      <c r="D52" s="25">
        <f t="shared" ref="D52:D57" si="11">B52*C52</f>
        <v>0.36375000000000002</v>
      </c>
      <c r="E52" s="16">
        <f>$O$3</f>
        <v>6.5230000000000002E-3</v>
      </c>
      <c r="F52" s="16">
        <f>D52*E52</f>
        <v>2.3727412500000001E-3</v>
      </c>
      <c r="G52" s="25">
        <v>1</v>
      </c>
      <c r="H52" s="25">
        <v>2</v>
      </c>
      <c r="I52" s="16">
        <f>G52*F52*H52</f>
        <v>4.7454825000000003E-3</v>
      </c>
    </row>
    <row r="53" spans="1:19" x14ac:dyDescent="0.3">
      <c r="A53" s="16" t="s">
        <v>285</v>
      </c>
      <c r="B53" s="25">
        <v>2.68</v>
      </c>
      <c r="C53" s="25">
        <v>0.125</v>
      </c>
      <c r="D53" s="16">
        <f t="shared" si="11"/>
        <v>0.33500000000000002</v>
      </c>
      <c r="E53" s="16">
        <f>$O$3</f>
        <v>6.5230000000000002E-3</v>
      </c>
      <c r="F53" s="16">
        <f t="shared" ref="F53:F72" si="12">D53*E53</f>
        <v>2.1852050000000004E-3</v>
      </c>
      <c r="G53" s="16">
        <v>1</v>
      </c>
      <c r="H53" s="16">
        <v>2</v>
      </c>
      <c r="I53" s="16">
        <f t="shared" ref="I53:I72" si="13">G53*F53*H53</f>
        <v>4.3704100000000008E-3</v>
      </c>
    </row>
    <row r="54" spans="1:19" x14ac:dyDescent="0.3">
      <c r="A54" s="16" t="s">
        <v>286</v>
      </c>
      <c r="B54" s="25">
        <v>2.39</v>
      </c>
      <c r="C54" s="25">
        <v>0.125</v>
      </c>
      <c r="D54" s="16">
        <f t="shared" si="11"/>
        <v>0.29875000000000002</v>
      </c>
      <c r="E54" s="16">
        <f>$O$3</f>
        <v>6.5230000000000002E-3</v>
      </c>
      <c r="F54" s="16">
        <f t="shared" si="12"/>
        <v>1.9487462500000002E-3</v>
      </c>
      <c r="G54" s="16">
        <v>1</v>
      </c>
      <c r="H54" s="16">
        <v>2</v>
      </c>
      <c r="I54" s="16">
        <f t="shared" si="13"/>
        <v>3.8974925000000004E-3</v>
      </c>
    </row>
    <row r="55" spans="1:19" x14ac:dyDescent="0.3">
      <c r="A55" s="16" t="s">
        <v>287</v>
      </c>
      <c r="B55" s="25">
        <v>2.0699999999999998</v>
      </c>
      <c r="C55" s="25">
        <v>0.25</v>
      </c>
      <c r="D55" s="16">
        <f t="shared" si="11"/>
        <v>0.51749999999999996</v>
      </c>
      <c r="E55" s="16">
        <f>$O$3</f>
        <v>6.5230000000000002E-3</v>
      </c>
      <c r="F55" s="16">
        <f t="shared" si="12"/>
        <v>3.3756525E-3</v>
      </c>
      <c r="G55" s="16">
        <v>1</v>
      </c>
      <c r="H55" s="16">
        <v>2</v>
      </c>
      <c r="I55" s="16">
        <f t="shared" si="13"/>
        <v>6.751305E-3</v>
      </c>
    </row>
    <row r="56" spans="1:19" x14ac:dyDescent="0.3">
      <c r="A56" s="16" t="s">
        <v>292</v>
      </c>
      <c r="B56" s="25">
        <v>0.16750000000000001</v>
      </c>
      <c r="C56" s="25">
        <v>16</v>
      </c>
      <c r="D56" s="16">
        <f t="shared" si="11"/>
        <v>2.68</v>
      </c>
      <c r="E56" s="16">
        <f>$O$3</f>
        <v>6.5230000000000002E-3</v>
      </c>
      <c r="F56" s="16">
        <f t="shared" si="12"/>
        <v>1.7481640000000003E-2</v>
      </c>
      <c r="G56" s="16">
        <v>1</v>
      </c>
      <c r="H56" s="16">
        <v>1</v>
      </c>
      <c r="I56" s="16">
        <f t="shared" si="13"/>
        <v>1.7481640000000003E-2</v>
      </c>
    </row>
    <row r="57" spans="1:19" x14ac:dyDescent="0.3">
      <c r="A57" s="16" t="s">
        <v>295</v>
      </c>
      <c r="B57" s="25">
        <v>7.0000000000000007E-2</v>
      </c>
      <c r="C57" s="25">
        <v>7.35</v>
      </c>
      <c r="D57" s="16">
        <f t="shared" si="11"/>
        <v>0.51450000000000007</v>
      </c>
      <c r="E57" s="16">
        <f>O3</f>
        <v>6.5230000000000002E-3</v>
      </c>
      <c r="F57" s="16">
        <f t="shared" si="12"/>
        <v>3.3560835000000003E-3</v>
      </c>
      <c r="G57" s="16">
        <v>1</v>
      </c>
      <c r="H57" s="16">
        <v>2</v>
      </c>
      <c r="I57" s="16">
        <f t="shared" si="13"/>
        <v>6.7121670000000007E-3</v>
      </c>
    </row>
    <row r="58" spans="1:19" x14ac:dyDescent="0.3">
      <c r="A58" s="16" t="s">
        <v>288</v>
      </c>
      <c r="B58" s="25">
        <v>0.42</v>
      </c>
      <c r="C58" s="25">
        <v>1.5</v>
      </c>
      <c r="D58" s="16">
        <v>0.61</v>
      </c>
      <c r="E58" s="16">
        <f>$O$3</f>
        <v>6.5230000000000002E-3</v>
      </c>
      <c r="F58" s="16">
        <f t="shared" si="12"/>
        <v>3.9790299999999997E-3</v>
      </c>
      <c r="G58" s="16">
        <v>1</v>
      </c>
      <c r="H58" s="16">
        <v>1</v>
      </c>
      <c r="I58" s="16">
        <f t="shared" si="13"/>
        <v>3.9790299999999997E-3</v>
      </c>
    </row>
    <row r="59" spans="1:19" x14ac:dyDescent="0.3">
      <c r="A59" s="16" t="s">
        <v>289</v>
      </c>
      <c r="B59" s="16">
        <v>1.83</v>
      </c>
      <c r="C59" s="16">
        <v>0.125</v>
      </c>
      <c r="D59" s="16">
        <v>3.82</v>
      </c>
      <c r="E59" s="16">
        <f>O1</f>
        <v>2.2046E-2</v>
      </c>
      <c r="F59" s="16">
        <f t="shared" si="12"/>
        <v>8.4215719999999994E-2</v>
      </c>
      <c r="G59" s="16">
        <v>0.75</v>
      </c>
      <c r="H59" s="16">
        <v>2</v>
      </c>
      <c r="I59" s="16">
        <f t="shared" si="13"/>
        <v>0.12632357999999999</v>
      </c>
    </row>
    <row r="60" spans="1:19" x14ac:dyDescent="0.3">
      <c r="A60" s="16" t="s">
        <v>290</v>
      </c>
      <c r="B60" s="25">
        <v>3.5</v>
      </c>
      <c r="C60" s="25">
        <v>0.125</v>
      </c>
      <c r="D60" s="16">
        <f>B60*C60</f>
        <v>0.4375</v>
      </c>
      <c r="E60" s="16">
        <f>O1</f>
        <v>2.2046E-2</v>
      </c>
      <c r="F60" s="16">
        <f t="shared" si="12"/>
        <v>9.6451249999999992E-3</v>
      </c>
      <c r="G60" s="16">
        <v>0.75</v>
      </c>
      <c r="H60" s="16">
        <v>2</v>
      </c>
      <c r="I60" s="16">
        <f t="shared" si="13"/>
        <v>1.44676875E-2</v>
      </c>
    </row>
    <row r="61" spans="1:19" x14ac:dyDescent="0.3">
      <c r="A61" s="16" t="s">
        <v>291</v>
      </c>
      <c r="B61" s="25">
        <v>3.21</v>
      </c>
      <c r="C61" s="25">
        <v>0.25</v>
      </c>
      <c r="D61" s="16">
        <f t="shared" ref="D61:D72" si="14">B61*C61</f>
        <v>0.80249999999999999</v>
      </c>
      <c r="E61" s="16">
        <f>$O$3</f>
        <v>6.5230000000000002E-3</v>
      </c>
      <c r="F61" s="16">
        <f t="shared" si="12"/>
        <v>5.2347074999999996E-3</v>
      </c>
      <c r="G61" s="16">
        <v>1</v>
      </c>
      <c r="H61" s="16">
        <v>2</v>
      </c>
      <c r="I61" s="16">
        <f t="shared" si="13"/>
        <v>1.0469414999999999E-2</v>
      </c>
    </row>
    <row r="62" spans="1:19" x14ac:dyDescent="0.3">
      <c r="A62" s="16" t="s">
        <v>293</v>
      </c>
      <c r="B62" s="25">
        <f>0.1875*0.83</f>
        <v>0.15562499999999999</v>
      </c>
      <c r="C62" s="25">
        <v>21.5</v>
      </c>
      <c r="D62" s="16">
        <f t="shared" si="14"/>
        <v>3.3459374999999998</v>
      </c>
      <c r="E62" s="16">
        <f>$O$3</f>
        <v>6.5230000000000002E-3</v>
      </c>
      <c r="F62" s="16">
        <f t="shared" si="12"/>
        <v>2.1825550312500001E-2</v>
      </c>
      <c r="G62" s="16">
        <v>1</v>
      </c>
      <c r="H62" s="16">
        <v>1</v>
      </c>
      <c r="I62" s="16">
        <f t="shared" si="13"/>
        <v>2.1825550312500001E-2</v>
      </c>
    </row>
    <row r="63" spans="1:19" x14ac:dyDescent="0.3">
      <c r="A63" s="16" t="s">
        <v>296</v>
      </c>
      <c r="B63" s="16">
        <v>7.0000000000000007E-2</v>
      </c>
      <c r="C63" s="16">
        <v>2.76</v>
      </c>
      <c r="D63" s="16">
        <f t="shared" si="14"/>
        <v>0.19320000000000001</v>
      </c>
      <c r="E63" s="16">
        <f>O3</f>
        <v>6.5230000000000002E-3</v>
      </c>
      <c r="F63" s="16">
        <f t="shared" si="12"/>
        <v>1.2602436000000001E-3</v>
      </c>
      <c r="G63" s="16">
        <v>1</v>
      </c>
      <c r="H63" s="16">
        <v>2</v>
      </c>
      <c r="I63" s="16">
        <f t="shared" si="13"/>
        <v>2.5204872000000001E-3</v>
      </c>
    </row>
    <row r="64" spans="1:19" x14ac:dyDescent="0.3">
      <c r="A64" s="16" t="s">
        <v>297</v>
      </c>
      <c r="B64" s="25">
        <v>0.09</v>
      </c>
      <c r="C64" s="25">
        <v>7.11</v>
      </c>
      <c r="D64" s="16">
        <f t="shared" si="14"/>
        <v>0.63990000000000002</v>
      </c>
      <c r="E64" s="16">
        <f>O3</f>
        <v>6.5230000000000002E-3</v>
      </c>
      <c r="F64" s="16">
        <f t="shared" si="12"/>
        <v>4.1740676999999999E-3</v>
      </c>
      <c r="G64" s="16">
        <v>1</v>
      </c>
      <c r="H64" s="16">
        <v>2</v>
      </c>
      <c r="I64" s="16">
        <f t="shared" si="13"/>
        <v>8.3481353999999997E-3</v>
      </c>
    </row>
    <row r="65" spans="1:19" x14ac:dyDescent="0.3">
      <c r="A65" s="16"/>
      <c r="B65" s="16"/>
      <c r="C65" s="16"/>
      <c r="D65" s="16">
        <f t="shared" si="14"/>
        <v>0</v>
      </c>
      <c r="E65" s="16"/>
      <c r="F65" s="16">
        <f t="shared" si="12"/>
        <v>0</v>
      </c>
      <c r="G65" s="16"/>
      <c r="H65" s="16"/>
      <c r="I65" s="16">
        <f t="shared" si="13"/>
        <v>0</v>
      </c>
    </row>
    <row r="66" spans="1:19" x14ac:dyDescent="0.3">
      <c r="A66" s="16"/>
      <c r="B66" s="16"/>
      <c r="C66" s="16"/>
      <c r="D66" s="16">
        <f t="shared" si="14"/>
        <v>0</v>
      </c>
      <c r="E66" s="16"/>
      <c r="F66" s="16">
        <f t="shared" si="12"/>
        <v>0</v>
      </c>
      <c r="G66" s="16"/>
      <c r="H66" s="16"/>
      <c r="I66" s="16">
        <f t="shared" si="13"/>
        <v>0</v>
      </c>
    </row>
    <row r="67" spans="1:19" x14ac:dyDescent="0.3">
      <c r="A67" s="16"/>
      <c r="B67" s="16"/>
      <c r="C67" s="16"/>
      <c r="D67" s="16">
        <f t="shared" si="14"/>
        <v>0</v>
      </c>
      <c r="E67" s="16"/>
      <c r="F67" s="16">
        <f t="shared" si="12"/>
        <v>0</v>
      </c>
      <c r="G67" s="16"/>
      <c r="H67" s="16"/>
      <c r="I67" s="16">
        <f t="shared" si="13"/>
        <v>0</v>
      </c>
    </row>
    <row r="68" spans="1:19" x14ac:dyDescent="0.3">
      <c r="A68" s="16"/>
      <c r="B68" s="16"/>
      <c r="C68" s="16"/>
      <c r="D68" s="16">
        <f t="shared" si="14"/>
        <v>0</v>
      </c>
      <c r="E68" s="16"/>
      <c r="F68" s="16">
        <f t="shared" si="12"/>
        <v>0</v>
      </c>
      <c r="G68" s="16"/>
      <c r="H68" s="16"/>
      <c r="I68" s="16">
        <f t="shared" si="13"/>
        <v>0</v>
      </c>
    </row>
    <row r="69" spans="1:19" x14ac:dyDescent="0.3">
      <c r="A69" s="16"/>
      <c r="B69" s="16"/>
      <c r="C69" s="16"/>
      <c r="D69" s="16">
        <f t="shared" si="14"/>
        <v>0</v>
      </c>
      <c r="E69" s="16"/>
      <c r="F69" s="16">
        <f t="shared" si="12"/>
        <v>0</v>
      </c>
      <c r="G69" s="16"/>
      <c r="H69" s="16"/>
      <c r="I69" s="16">
        <f t="shared" si="13"/>
        <v>0</v>
      </c>
    </row>
    <row r="70" spans="1:19" x14ac:dyDescent="0.3">
      <c r="A70" s="16"/>
      <c r="B70" s="16"/>
      <c r="C70" s="16"/>
      <c r="D70" s="16">
        <f t="shared" si="14"/>
        <v>0</v>
      </c>
      <c r="E70" s="16"/>
      <c r="F70" s="16">
        <f t="shared" si="12"/>
        <v>0</v>
      </c>
      <c r="G70" s="16"/>
      <c r="H70" s="16"/>
      <c r="I70" s="16">
        <f t="shared" si="13"/>
        <v>0</v>
      </c>
    </row>
    <row r="71" spans="1:19" x14ac:dyDescent="0.3">
      <c r="A71" s="16"/>
      <c r="B71" s="16"/>
      <c r="C71" s="16"/>
      <c r="D71" s="16">
        <f t="shared" si="14"/>
        <v>0</v>
      </c>
      <c r="E71" s="16"/>
      <c r="F71" s="16">
        <f t="shared" si="12"/>
        <v>0</v>
      </c>
      <c r="G71" s="16"/>
      <c r="H71" s="16"/>
      <c r="I71" s="16">
        <f t="shared" si="13"/>
        <v>0</v>
      </c>
    </row>
    <row r="72" spans="1:19" ht="15" thickBot="1" x14ac:dyDescent="0.35">
      <c r="A72" s="16"/>
      <c r="B72" s="16"/>
      <c r="C72" s="16"/>
      <c r="D72" s="16">
        <f t="shared" si="14"/>
        <v>0</v>
      </c>
      <c r="E72" s="16"/>
      <c r="F72" s="16">
        <f t="shared" si="12"/>
        <v>0</v>
      </c>
      <c r="G72" s="27"/>
      <c r="H72" s="27"/>
      <c r="I72" s="27">
        <f t="shared" si="13"/>
        <v>0</v>
      </c>
    </row>
    <row r="73" spans="1:19" x14ac:dyDescent="0.3">
      <c r="G73" s="28" t="s">
        <v>298</v>
      </c>
      <c r="H73" s="29"/>
      <c r="I73" s="29">
        <f>SUM(I52:I72)</f>
        <v>0.23189238241250001</v>
      </c>
      <c r="J73" s="30" t="s">
        <v>93</v>
      </c>
    </row>
    <row r="74" spans="1:19" x14ac:dyDescent="0.3">
      <c r="G74" s="31" t="s">
        <v>210</v>
      </c>
      <c r="I74">
        <v>1.2</v>
      </c>
      <c r="J74" s="32" t="s">
        <v>51</v>
      </c>
    </row>
    <row r="75" spans="1:19" ht="15" thickBot="1" x14ac:dyDescent="0.35">
      <c r="G75" s="33" t="s">
        <v>299</v>
      </c>
      <c r="H75" s="34"/>
      <c r="I75" s="34">
        <f>I73*I74</f>
        <v>0.27827085889500003</v>
      </c>
      <c r="J75" s="35"/>
    </row>
    <row r="77" spans="1:19" x14ac:dyDescent="0.3">
      <c r="A77" s="14" t="s">
        <v>347</v>
      </c>
      <c r="B77" s="14" t="s">
        <v>3</v>
      </c>
      <c r="C77" s="14" t="s">
        <v>294</v>
      </c>
      <c r="D77" s="14" t="s">
        <v>198</v>
      </c>
      <c r="E77" s="14" t="s">
        <v>197</v>
      </c>
      <c r="F77" s="14" t="s">
        <v>280</v>
      </c>
      <c r="G77" s="14" t="s">
        <v>199</v>
      </c>
      <c r="H77" s="14" t="s">
        <v>208</v>
      </c>
      <c r="I77" s="14" t="s">
        <v>281</v>
      </c>
      <c r="J77" s="41" t="s">
        <v>328</v>
      </c>
      <c r="K77" s="41" t="s">
        <v>329</v>
      </c>
      <c r="L77" s="41" t="s">
        <v>330</v>
      </c>
      <c r="M77" s="41" t="s">
        <v>320</v>
      </c>
      <c r="N77" s="41" t="s">
        <v>324</v>
      </c>
      <c r="O77" s="41" t="s">
        <v>325</v>
      </c>
      <c r="P77" s="41" t="s">
        <v>331</v>
      </c>
      <c r="Q77" s="41" t="s">
        <v>339</v>
      </c>
      <c r="R77" s="41" t="s">
        <v>340</v>
      </c>
      <c r="S77" s="41" t="s">
        <v>341</v>
      </c>
    </row>
    <row r="78" spans="1:19" x14ac:dyDescent="0.3">
      <c r="A78" s="16" t="s">
        <v>284</v>
      </c>
      <c r="B78" s="25">
        <v>4.66</v>
      </c>
      <c r="C78" s="25">
        <v>0.125</v>
      </c>
      <c r="D78" s="25">
        <f t="shared" ref="D78:D83" si="15">B78*C78</f>
        <v>0.58250000000000002</v>
      </c>
      <c r="E78" s="16">
        <f>$O$3</f>
        <v>6.5230000000000002E-3</v>
      </c>
      <c r="F78" s="16">
        <f>D78*E78</f>
        <v>3.7996475000000004E-3</v>
      </c>
      <c r="G78" s="25">
        <v>1</v>
      </c>
      <c r="H78" s="25">
        <v>1</v>
      </c>
      <c r="I78" s="16">
        <f>G78*F78*H78</f>
        <v>3.7996475000000004E-3</v>
      </c>
      <c r="Q78">
        <f>$I78*J78</f>
        <v>0</v>
      </c>
      <c r="R78">
        <f>$I78*K78</f>
        <v>0</v>
      </c>
      <c r="S78">
        <f>$I78*L78</f>
        <v>0</v>
      </c>
    </row>
    <row r="79" spans="1:19" x14ac:dyDescent="0.3">
      <c r="A79" s="16" t="s">
        <v>285</v>
      </c>
      <c r="B79" s="25">
        <v>3.62</v>
      </c>
      <c r="C79" s="25">
        <v>0.125</v>
      </c>
      <c r="D79" s="16">
        <f t="shared" si="15"/>
        <v>0.45250000000000001</v>
      </c>
      <c r="E79" s="16">
        <f>$O$3</f>
        <v>6.5230000000000002E-3</v>
      </c>
      <c r="F79" s="16">
        <f t="shared" ref="F79:F97" si="16">D79*E79</f>
        <v>2.9516575000000001E-3</v>
      </c>
      <c r="G79" s="16">
        <v>1</v>
      </c>
      <c r="H79" s="16">
        <v>1</v>
      </c>
      <c r="I79" s="16">
        <f t="shared" ref="I79:I97" si="17">G79*F79*H79</f>
        <v>2.9516575000000001E-3</v>
      </c>
      <c r="Q79">
        <f t="shared" ref="Q79:Q96" si="18">$I79*J79</f>
        <v>0</v>
      </c>
      <c r="R79">
        <f t="shared" ref="R79:R96" si="19">$I79*K79</f>
        <v>0</v>
      </c>
      <c r="S79">
        <f t="shared" ref="S79:S96" si="20">$I79*L79</f>
        <v>0</v>
      </c>
    </row>
    <row r="80" spans="1:19" x14ac:dyDescent="0.3">
      <c r="A80" s="16" t="s">
        <v>286</v>
      </c>
      <c r="B80" s="25">
        <v>2.56</v>
      </c>
      <c r="C80" s="25">
        <v>0.125</v>
      </c>
      <c r="D80" s="16">
        <f t="shared" si="15"/>
        <v>0.32</v>
      </c>
      <c r="E80" s="16">
        <f>$O$3</f>
        <v>6.5230000000000002E-3</v>
      </c>
      <c r="F80" s="16">
        <f t="shared" si="16"/>
        <v>2.0873599999999999E-3</v>
      </c>
      <c r="G80" s="16">
        <v>1</v>
      </c>
      <c r="H80" s="16">
        <v>1</v>
      </c>
      <c r="I80" s="16">
        <f t="shared" si="17"/>
        <v>2.0873599999999999E-3</v>
      </c>
      <c r="Q80">
        <f t="shared" si="18"/>
        <v>0</v>
      </c>
      <c r="R80">
        <f t="shared" si="19"/>
        <v>0</v>
      </c>
      <c r="S80">
        <f t="shared" si="20"/>
        <v>0</v>
      </c>
    </row>
    <row r="81" spans="1:19" x14ac:dyDescent="0.3">
      <c r="A81" s="16" t="s">
        <v>306</v>
      </c>
      <c r="B81" s="25">
        <v>2.5</v>
      </c>
      <c r="C81" s="25">
        <v>0.125</v>
      </c>
      <c r="D81" s="16">
        <f t="shared" si="15"/>
        <v>0.3125</v>
      </c>
      <c r="E81" s="16">
        <f>O1</f>
        <v>2.2046E-2</v>
      </c>
      <c r="F81" s="16">
        <f t="shared" si="16"/>
        <v>6.8893749999999997E-3</v>
      </c>
      <c r="G81" s="16">
        <v>0.75</v>
      </c>
      <c r="H81" s="16">
        <v>1</v>
      </c>
      <c r="I81" s="16">
        <f t="shared" si="17"/>
        <v>5.1670312499999997E-3</v>
      </c>
      <c r="Q81">
        <f t="shared" si="18"/>
        <v>0</v>
      </c>
      <c r="R81">
        <f t="shared" si="19"/>
        <v>0</v>
      </c>
      <c r="S81">
        <f t="shared" si="20"/>
        <v>0</v>
      </c>
    </row>
    <row r="82" spans="1:19" x14ac:dyDescent="0.3">
      <c r="A82" s="16" t="s">
        <v>305</v>
      </c>
      <c r="B82" s="25">
        <v>0.17849999999999999</v>
      </c>
      <c r="C82" s="25">
        <v>10</v>
      </c>
      <c r="D82" s="16">
        <f t="shared" si="15"/>
        <v>1.7849999999999999</v>
      </c>
      <c r="E82" s="16">
        <f>$O$3</f>
        <v>6.5230000000000002E-3</v>
      </c>
      <c r="F82" s="16">
        <f t="shared" si="16"/>
        <v>1.1643555E-2</v>
      </c>
      <c r="G82" s="16">
        <v>1</v>
      </c>
      <c r="H82" s="16">
        <v>1</v>
      </c>
      <c r="I82" s="16">
        <f t="shared" si="17"/>
        <v>1.1643555E-2</v>
      </c>
      <c r="Q82">
        <f t="shared" si="18"/>
        <v>0</v>
      </c>
      <c r="R82">
        <f t="shared" si="19"/>
        <v>0</v>
      </c>
      <c r="S82">
        <f t="shared" si="20"/>
        <v>0</v>
      </c>
    </row>
    <row r="83" spans="1:19" x14ac:dyDescent="0.3">
      <c r="A83" s="16" t="s">
        <v>304</v>
      </c>
      <c r="B83" s="25">
        <v>7.0000000000000007E-2</v>
      </c>
      <c r="C83" s="25">
        <v>10.16</v>
      </c>
      <c r="D83" s="16">
        <f t="shared" si="15"/>
        <v>0.71120000000000005</v>
      </c>
      <c r="E83" s="16">
        <f>$O$3</f>
        <v>6.5230000000000002E-3</v>
      </c>
      <c r="F83" s="16">
        <f t="shared" si="16"/>
        <v>4.6391576000000007E-3</v>
      </c>
      <c r="G83" s="16">
        <v>1</v>
      </c>
      <c r="H83" s="16">
        <v>1</v>
      </c>
      <c r="I83" s="16">
        <f t="shared" si="17"/>
        <v>4.6391576000000007E-3</v>
      </c>
      <c r="Q83">
        <f t="shared" si="18"/>
        <v>0</v>
      </c>
      <c r="R83">
        <f t="shared" si="19"/>
        <v>0</v>
      </c>
      <c r="S83">
        <f t="shared" si="20"/>
        <v>0</v>
      </c>
    </row>
    <row r="84" spans="1:19" x14ac:dyDescent="0.3">
      <c r="A84" s="16" t="s">
        <v>289</v>
      </c>
      <c r="B84" s="16">
        <v>2.98</v>
      </c>
      <c r="C84" s="16">
        <v>0.125</v>
      </c>
      <c r="D84" s="16">
        <v>3.82</v>
      </c>
      <c r="E84" s="16">
        <f>O1</f>
        <v>2.2046E-2</v>
      </c>
      <c r="F84" s="16">
        <f t="shared" si="16"/>
        <v>8.4215719999999994E-2</v>
      </c>
      <c r="G84" s="16">
        <v>0.75</v>
      </c>
      <c r="H84" s="16">
        <v>1</v>
      </c>
      <c r="I84" s="16">
        <f t="shared" si="17"/>
        <v>6.3161789999999995E-2</v>
      </c>
      <c r="Q84">
        <f t="shared" si="18"/>
        <v>0</v>
      </c>
      <c r="R84">
        <f t="shared" si="19"/>
        <v>0</v>
      </c>
      <c r="S84">
        <f t="shared" si="20"/>
        <v>0</v>
      </c>
    </row>
    <row r="85" spans="1:19" x14ac:dyDescent="0.3">
      <c r="A85" s="16" t="s">
        <v>290</v>
      </c>
      <c r="B85" s="25">
        <v>1.8</v>
      </c>
      <c r="C85" s="25">
        <v>0.125</v>
      </c>
      <c r="D85" s="16">
        <f>B85*C85</f>
        <v>0.22500000000000001</v>
      </c>
      <c r="E85" s="16">
        <f>$O$3</f>
        <v>6.5230000000000002E-3</v>
      </c>
      <c r="F85" s="16">
        <f t="shared" si="16"/>
        <v>1.4676750000000001E-3</v>
      </c>
      <c r="G85" s="16">
        <v>0.75</v>
      </c>
      <c r="H85" s="16">
        <v>1</v>
      </c>
      <c r="I85" s="16">
        <f t="shared" si="17"/>
        <v>1.1007562500000001E-3</v>
      </c>
      <c r="Q85">
        <f t="shared" si="18"/>
        <v>0</v>
      </c>
      <c r="R85">
        <f t="shared" si="19"/>
        <v>0</v>
      </c>
      <c r="S85">
        <f t="shared" si="20"/>
        <v>0</v>
      </c>
    </row>
    <row r="86" spans="1:19" x14ac:dyDescent="0.3">
      <c r="A86" s="16" t="s">
        <v>301</v>
      </c>
      <c r="B86" s="25">
        <v>1.01</v>
      </c>
      <c r="C86" s="25">
        <v>0.25</v>
      </c>
      <c r="D86" s="16">
        <f t="shared" ref="D86:D97" si="21">B86*C86</f>
        <v>0.2525</v>
      </c>
      <c r="E86" s="16">
        <f>$O$3</f>
        <v>6.5230000000000002E-3</v>
      </c>
      <c r="F86" s="16">
        <f t="shared" si="16"/>
        <v>1.6470575000000001E-3</v>
      </c>
      <c r="G86" s="16">
        <v>1</v>
      </c>
      <c r="H86" s="16">
        <v>1</v>
      </c>
      <c r="I86" s="16">
        <f t="shared" si="17"/>
        <v>1.6470575000000001E-3</v>
      </c>
      <c r="Q86">
        <f t="shared" si="18"/>
        <v>0</v>
      </c>
      <c r="R86">
        <f t="shared" si="19"/>
        <v>0</v>
      </c>
      <c r="S86">
        <f t="shared" si="20"/>
        <v>0</v>
      </c>
    </row>
    <row r="87" spans="1:19" x14ac:dyDescent="0.3">
      <c r="A87" s="16" t="s">
        <v>303</v>
      </c>
      <c r="B87" s="25">
        <f>0.1875*0.83</f>
        <v>0.15562499999999999</v>
      </c>
      <c r="C87" s="25">
        <v>10.1</v>
      </c>
      <c r="D87" s="16">
        <f t="shared" si="21"/>
        <v>1.5718124999999998</v>
      </c>
      <c r="E87" s="16">
        <f>$O$3</f>
        <v>6.5230000000000002E-3</v>
      </c>
      <c r="F87" s="16">
        <f t="shared" si="16"/>
        <v>1.0252932937499999E-2</v>
      </c>
      <c r="G87" s="16">
        <v>1</v>
      </c>
      <c r="H87" s="16">
        <v>1</v>
      </c>
      <c r="I87" s="16">
        <f t="shared" si="17"/>
        <v>1.0252932937499999E-2</v>
      </c>
      <c r="Q87">
        <f t="shared" si="18"/>
        <v>0</v>
      </c>
      <c r="R87">
        <f t="shared" si="19"/>
        <v>0</v>
      </c>
      <c r="S87">
        <f t="shared" si="20"/>
        <v>0</v>
      </c>
    </row>
    <row r="88" spans="1:19" x14ac:dyDescent="0.3">
      <c r="A88" s="16" t="s">
        <v>302</v>
      </c>
      <c r="B88" s="16">
        <v>7.0000000000000007E-2</v>
      </c>
      <c r="C88" s="16">
        <v>3.81</v>
      </c>
      <c r="D88" s="16">
        <f t="shared" si="21"/>
        <v>0.26670000000000005</v>
      </c>
      <c r="E88" s="16">
        <f>$O$3</f>
        <v>6.5230000000000002E-3</v>
      </c>
      <c r="F88" s="16">
        <f t="shared" si="16"/>
        <v>1.7396841000000003E-3</v>
      </c>
      <c r="G88" s="16">
        <v>1</v>
      </c>
      <c r="H88" s="16">
        <v>1</v>
      </c>
      <c r="I88" s="16">
        <f t="shared" si="17"/>
        <v>1.7396841000000003E-3</v>
      </c>
      <c r="Q88">
        <f t="shared" si="18"/>
        <v>0</v>
      </c>
      <c r="R88">
        <f t="shared" si="19"/>
        <v>0</v>
      </c>
      <c r="S88">
        <f t="shared" si="20"/>
        <v>0</v>
      </c>
    </row>
    <row r="89" spans="1:19" x14ac:dyDescent="0.3">
      <c r="A89" s="16" t="s">
        <v>297</v>
      </c>
      <c r="B89" s="25">
        <v>0.09</v>
      </c>
      <c r="C89" s="25">
        <v>14.63</v>
      </c>
      <c r="D89" s="16">
        <f t="shared" si="21"/>
        <v>1.3167</v>
      </c>
      <c r="E89" s="16">
        <f>$O$3</f>
        <v>6.5230000000000002E-3</v>
      </c>
      <c r="F89" s="16">
        <f t="shared" si="16"/>
        <v>8.5888340999999997E-3</v>
      </c>
      <c r="G89" s="16">
        <v>1</v>
      </c>
      <c r="H89" s="16">
        <v>1</v>
      </c>
      <c r="I89" s="16">
        <f t="shared" si="17"/>
        <v>8.5888340999999997E-3</v>
      </c>
      <c r="Q89">
        <f t="shared" si="18"/>
        <v>0</v>
      </c>
      <c r="R89">
        <f t="shared" si="19"/>
        <v>0</v>
      </c>
      <c r="S89">
        <f t="shared" si="20"/>
        <v>0</v>
      </c>
    </row>
    <row r="90" spans="1:19" x14ac:dyDescent="0.3">
      <c r="A90" s="16" t="s">
        <v>307</v>
      </c>
      <c r="B90" s="16">
        <f>PI()*(1.5)^3</f>
        <v>10.602875205865551</v>
      </c>
      <c r="C90" s="16">
        <v>0.125</v>
      </c>
      <c r="D90" s="16">
        <f t="shared" si="21"/>
        <v>1.3253594007331939</v>
      </c>
      <c r="E90" s="16">
        <f>O1</f>
        <v>2.2046E-2</v>
      </c>
      <c r="F90" s="16">
        <f t="shared" si="16"/>
        <v>2.9218873348563993E-2</v>
      </c>
      <c r="G90" s="16">
        <v>1</v>
      </c>
      <c r="H90" s="16">
        <v>1</v>
      </c>
      <c r="I90" s="16">
        <f t="shared" si="17"/>
        <v>2.9218873348563993E-2</v>
      </c>
      <c r="Q90">
        <f t="shared" si="18"/>
        <v>0</v>
      </c>
      <c r="R90">
        <f t="shared" si="19"/>
        <v>0</v>
      </c>
      <c r="S90">
        <f t="shared" si="20"/>
        <v>0</v>
      </c>
    </row>
    <row r="91" spans="1:19" x14ac:dyDescent="0.3">
      <c r="A91" s="16"/>
      <c r="B91" s="16"/>
      <c r="C91" s="16"/>
      <c r="D91" s="16">
        <f t="shared" si="21"/>
        <v>0</v>
      </c>
      <c r="E91" s="16"/>
      <c r="F91" s="16">
        <f t="shared" si="16"/>
        <v>0</v>
      </c>
      <c r="G91" s="16"/>
      <c r="H91" s="16"/>
      <c r="I91" s="16">
        <f t="shared" si="17"/>
        <v>0</v>
      </c>
      <c r="Q91">
        <f t="shared" si="18"/>
        <v>0</v>
      </c>
      <c r="R91">
        <f t="shared" si="19"/>
        <v>0</v>
      </c>
      <c r="S91">
        <f t="shared" si="20"/>
        <v>0</v>
      </c>
    </row>
    <row r="92" spans="1:19" x14ac:dyDescent="0.3">
      <c r="A92" s="16"/>
      <c r="B92" s="16"/>
      <c r="C92" s="16"/>
      <c r="D92" s="16">
        <f t="shared" si="21"/>
        <v>0</v>
      </c>
      <c r="E92" s="16"/>
      <c r="F92" s="16">
        <f t="shared" si="16"/>
        <v>0</v>
      </c>
      <c r="G92" s="16"/>
      <c r="H92" s="16"/>
      <c r="I92" s="16">
        <f t="shared" si="17"/>
        <v>0</v>
      </c>
      <c r="Q92">
        <f t="shared" si="18"/>
        <v>0</v>
      </c>
      <c r="R92">
        <f t="shared" si="19"/>
        <v>0</v>
      </c>
      <c r="S92">
        <f t="shared" si="20"/>
        <v>0</v>
      </c>
    </row>
    <row r="93" spans="1:19" x14ac:dyDescent="0.3">
      <c r="A93" s="16"/>
      <c r="B93" s="16"/>
      <c r="C93" s="16"/>
      <c r="D93" s="16">
        <f t="shared" si="21"/>
        <v>0</v>
      </c>
      <c r="E93" s="16"/>
      <c r="F93" s="16">
        <f t="shared" si="16"/>
        <v>0</v>
      </c>
      <c r="G93" s="16"/>
      <c r="H93" s="16"/>
      <c r="I93" s="16">
        <f t="shared" si="17"/>
        <v>0</v>
      </c>
      <c r="Q93">
        <f t="shared" si="18"/>
        <v>0</v>
      </c>
      <c r="R93">
        <f t="shared" si="19"/>
        <v>0</v>
      </c>
      <c r="S93">
        <f t="shared" si="20"/>
        <v>0</v>
      </c>
    </row>
    <row r="94" spans="1:19" x14ac:dyDescent="0.3">
      <c r="A94" s="16"/>
      <c r="B94" s="16"/>
      <c r="C94" s="16"/>
      <c r="D94" s="16">
        <f t="shared" si="21"/>
        <v>0</v>
      </c>
      <c r="E94" s="16"/>
      <c r="F94" s="16">
        <f t="shared" si="16"/>
        <v>0</v>
      </c>
      <c r="G94" s="16"/>
      <c r="H94" s="16"/>
      <c r="I94" s="16">
        <f t="shared" si="17"/>
        <v>0</v>
      </c>
      <c r="Q94">
        <f t="shared" si="18"/>
        <v>0</v>
      </c>
      <c r="R94">
        <f t="shared" si="19"/>
        <v>0</v>
      </c>
      <c r="S94">
        <f t="shared" si="20"/>
        <v>0</v>
      </c>
    </row>
    <row r="95" spans="1:19" x14ac:dyDescent="0.3">
      <c r="A95" s="16"/>
      <c r="B95" s="16"/>
      <c r="C95" s="16"/>
      <c r="D95" s="16">
        <f t="shared" si="21"/>
        <v>0</v>
      </c>
      <c r="E95" s="16"/>
      <c r="F95" s="16">
        <f t="shared" si="16"/>
        <v>0</v>
      </c>
      <c r="G95" s="16"/>
      <c r="H95" s="16"/>
      <c r="I95" s="16">
        <f t="shared" si="17"/>
        <v>0</v>
      </c>
      <c r="Q95">
        <f t="shared" si="18"/>
        <v>0</v>
      </c>
      <c r="R95">
        <f t="shared" si="19"/>
        <v>0</v>
      </c>
      <c r="S95">
        <f t="shared" si="20"/>
        <v>0</v>
      </c>
    </row>
    <row r="96" spans="1:19" x14ac:dyDescent="0.3">
      <c r="A96" s="16"/>
      <c r="B96" s="16"/>
      <c r="C96" s="16"/>
      <c r="D96" s="16">
        <f t="shared" si="21"/>
        <v>0</v>
      </c>
      <c r="E96" s="16"/>
      <c r="F96" s="16">
        <f t="shared" si="16"/>
        <v>0</v>
      </c>
      <c r="G96" s="16"/>
      <c r="H96" s="16"/>
      <c r="I96" s="16">
        <f t="shared" si="17"/>
        <v>0</v>
      </c>
      <c r="Q96">
        <f t="shared" si="18"/>
        <v>0</v>
      </c>
      <c r="R96">
        <f t="shared" si="19"/>
        <v>0</v>
      </c>
      <c r="S96">
        <f t="shared" si="20"/>
        <v>0</v>
      </c>
    </row>
    <row r="97" spans="1:19" ht="15" thickBot="1" x14ac:dyDescent="0.35">
      <c r="A97" s="16"/>
      <c r="B97" s="16"/>
      <c r="C97" s="16"/>
      <c r="D97" s="16">
        <f t="shared" si="21"/>
        <v>0</v>
      </c>
      <c r="E97" s="16"/>
      <c r="F97" s="16">
        <f t="shared" si="16"/>
        <v>0</v>
      </c>
      <c r="G97" s="27"/>
      <c r="H97" s="27"/>
      <c r="I97" s="27">
        <f t="shared" si="17"/>
        <v>0</v>
      </c>
    </row>
    <row r="98" spans="1:19" x14ac:dyDescent="0.3">
      <c r="G98" s="28" t="s">
        <v>298</v>
      </c>
      <c r="H98" s="29"/>
      <c r="I98" s="29">
        <f>SUM(I78:I97)</f>
        <v>0.145998337086064</v>
      </c>
      <c r="J98" s="30" t="s">
        <v>93</v>
      </c>
    </row>
    <row r="99" spans="1:19" x14ac:dyDescent="0.3">
      <c r="G99" s="31" t="s">
        <v>210</v>
      </c>
      <c r="I99">
        <v>1.2</v>
      </c>
      <c r="J99" s="32" t="s">
        <v>51</v>
      </c>
    </row>
    <row r="100" spans="1:19" ht="15" thickBot="1" x14ac:dyDescent="0.35">
      <c r="I100" s="33" t="s">
        <v>299</v>
      </c>
      <c r="J100" s="34"/>
      <c r="K100" s="34">
        <f>I98*I99</f>
        <v>0.1751980045032768</v>
      </c>
      <c r="L100" s="35"/>
    </row>
    <row r="103" spans="1:19" x14ac:dyDescent="0.3">
      <c r="E103" s="14" t="s">
        <v>311</v>
      </c>
      <c r="F103" s="14" t="s">
        <v>280</v>
      </c>
      <c r="G103" s="14" t="s">
        <v>199</v>
      </c>
      <c r="H103" s="14" t="s">
        <v>208</v>
      </c>
      <c r="I103" s="14" t="s">
        <v>281</v>
      </c>
      <c r="J103" s="41" t="s">
        <v>328</v>
      </c>
      <c r="K103" s="41" t="s">
        <v>329</v>
      </c>
      <c r="L103" s="41" t="s">
        <v>330</v>
      </c>
      <c r="M103" s="41" t="s">
        <v>320</v>
      </c>
      <c r="N103" s="41" t="s">
        <v>324</v>
      </c>
      <c r="O103" s="41" t="s">
        <v>325</v>
      </c>
      <c r="P103" s="41" t="s">
        <v>331</v>
      </c>
      <c r="Q103" s="41" t="s">
        <v>339</v>
      </c>
      <c r="R103" s="41" t="s">
        <v>340</v>
      </c>
      <c r="S103" s="41" t="s">
        <v>341</v>
      </c>
    </row>
    <row r="104" spans="1:19" x14ac:dyDescent="0.3">
      <c r="E104" s="16" t="s">
        <v>312</v>
      </c>
      <c r="F104" s="16">
        <v>9.8000000000000004E-2</v>
      </c>
      <c r="G104" s="25">
        <v>1</v>
      </c>
      <c r="H104" s="25">
        <v>2</v>
      </c>
      <c r="I104" s="16">
        <f>G104*F104*H104</f>
        <v>0.19600000000000001</v>
      </c>
      <c r="Q104">
        <f t="shared" ref="Q104:S108" si="22">$I104*J104</f>
        <v>0</v>
      </c>
      <c r="R104">
        <f t="shared" si="22"/>
        <v>0</v>
      </c>
      <c r="S104">
        <f t="shared" si="22"/>
        <v>0</v>
      </c>
    </row>
    <row r="105" spans="1:19" x14ac:dyDescent="0.3">
      <c r="E105" s="16" t="s">
        <v>313</v>
      </c>
      <c r="F105" s="16">
        <v>1.7999999999999999E-2</v>
      </c>
      <c r="G105" s="40">
        <v>0.66659999999999997</v>
      </c>
      <c r="H105" s="16">
        <v>2</v>
      </c>
      <c r="I105" s="39">
        <f t="shared" ref="I105:I111" si="23">G105*F105*H105</f>
        <v>2.3997599999999997E-2</v>
      </c>
      <c r="Q105">
        <f t="shared" si="22"/>
        <v>0</v>
      </c>
      <c r="R105">
        <f t="shared" si="22"/>
        <v>0</v>
      </c>
      <c r="S105">
        <f t="shared" si="22"/>
        <v>0</v>
      </c>
    </row>
    <row r="106" spans="1:19" x14ac:dyDescent="0.3">
      <c r="C106">
        <f>0.054*2.2046</f>
        <v>0.1190484</v>
      </c>
      <c r="E106" s="16" t="s">
        <v>314</v>
      </c>
      <c r="F106" s="16">
        <v>0.11899999999999999</v>
      </c>
      <c r="G106" s="16">
        <v>0.66600000000000004</v>
      </c>
      <c r="H106" s="16">
        <v>1</v>
      </c>
      <c r="I106" s="39">
        <f t="shared" si="23"/>
        <v>7.9254000000000005E-2</v>
      </c>
      <c r="Q106">
        <f t="shared" si="22"/>
        <v>0</v>
      </c>
      <c r="R106">
        <f t="shared" si="22"/>
        <v>0</v>
      </c>
      <c r="S106">
        <f t="shared" si="22"/>
        <v>0</v>
      </c>
    </row>
    <row r="107" spans="1:19" x14ac:dyDescent="0.3">
      <c r="E107" s="16" t="s">
        <v>315</v>
      </c>
      <c r="F107" s="16">
        <v>0.01</v>
      </c>
      <c r="G107" s="16">
        <v>1</v>
      </c>
      <c r="H107" s="16">
        <v>0</v>
      </c>
      <c r="I107" s="16">
        <f t="shared" si="23"/>
        <v>0</v>
      </c>
      <c r="J107" s="45">
        <v>39.89</v>
      </c>
      <c r="K107" s="45">
        <v>0</v>
      </c>
      <c r="L107" s="45">
        <v>-4.74</v>
      </c>
      <c r="M107" s="45">
        <v>0</v>
      </c>
      <c r="N107" s="45">
        <v>0</v>
      </c>
      <c r="O107" s="45">
        <v>0</v>
      </c>
      <c r="P107" s="45">
        <v>0</v>
      </c>
      <c r="Q107">
        <f t="shared" si="22"/>
        <v>0</v>
      </c>
      <c r="R107">
        <f t="shared" si="22"/>
        <v>0</v>
      </c>
      <c r="S107">
        <f t="shared" si="22"/>
        <v>0</v>
      </c>
    </row>
    <row r="108" spans="1:19" x14ac:dyDescent="0.3">
      <c r="E108" s="16" t="s">
        <v>342</v>
      </c>
      <c r="F108" s="16">
        <v>7.0000000000000007E-2</v>
      </c>
      <c r="G108" s="16">
        <v>1</v>
      </c>
      <c r="H108" s="16">
        <v>1</v>
      </c>
      <c r="I108" s="16">
        <f t="shared" si="23"/>
        <v>7.0000000000000007E-2</v>
      </c>
      <c r="J108" s="45">
        <v>37.380000000000003</v>
      </c>
      <c r="K108" s="45">
        <v>0</v>
      </c>
      <c r="L108" s="45">
        <v>-2.88</v>
      </c>
      <c r="M108" s="45">
        <v>0.01</v>
      </c>
      <c r="N108" s="45">
        <v>0.13</v>
      </c>
      <c r="O108" s="45">
        <v>0.13</v>
      </c>
      <c r="P108" s="45">
        <v>-0.02</v>
      </c>
      <c r="Q108">
        <f t="shared" si="22"/>
        <v>2.6166000000000005</v>
      </c>
      <c r="R108">
        <f t="shared" si="22"/>
        <v>0</v>
      </c>
      <c r="S108">
        <f t="shared" si="22"/>
        <v>-0.2016</v>
      </c>
    </row>
    <row r="109" spans="1:19" x14ac:dyDescent="0.3">
      <c r="E109" s="16"/>
      <c r="F109" s="16"/>
      <c r="G109" s="16"/>
      <c r="H109" s="16"/>
      <c r="I109" s="16">
        <f t="shared" si="23"/>
        <v>0</v>
      </c>
    </row>
    <row r="110" spans="1:19" x14ac:dyDescent="0.3">
      <c r="E110" s="16"/>
      <c r="F110" s="16"/>
      <c r="G110" s="16"/>
      <c r="H110" s="16"/>
      <c r="I110" s="16">
        <f t="shared" si="23"/>
        <v>0</v>
      </c>
    </row>
    <row r="111" spans="1:19" ht="15" thickBot="1" x14ac:dyDescent="0.35">
      <c r="E111" s="16"/>
      <c r="F111" s="16"/>
      <c r="G111" s="27"/>
      <c r="H111" s="27"/>
      <c r="I111" s="27">
        <f t="shared" si="23"/>
        <v>0</v>
      </c>
    </row>
    <row r="112" spans="1:19" x14ac:dyDescent="0.3">
      <c r="G112" s="28" t="s">
        <v>318</v>
      </c>
      <c r="H112" s="29"/>
      <c r="I112" s="29">
        <f>SUM(I104:I111)</f>
        <v>0.36925160000000001</v>
      </c>
      <c r="J112" s="30" t="s">
        <v>93</v>
      </c>
    </row>
    <row r="113" spans="5:19" x14ac:dyDescent="0.3">
      <c r="G113" s="31" t="s">
        <v>260</v>
      </c>
      <c r="I113">
        <v>1.1000000000000001</v>
      </c>
      <c r="J113" s="32" t="s">
        <v>51</v>
      </c>
    </row>
    <row r="114" spans="5:19" ht="15" thickBot="1" x14ac:dyDescent="0.35">
      <c r="G114" s="33" t="s">
        <v>319</v>
      </c>
      <c r="H114" s="34"/>
      <c r="I114" s="34">
        <f>I112*I113</f>
        <v>0.40617676000000003</v>
      </c>
      <c r="J114" s="35" t="s">
        <v>93</v>
      </c>
    </row>
    <row r="117" spans="5:19" x14ac:dyDescent="0.3">
      <c r="E117" s="14" t="s">
        <v>332</v>
      </c>
      <c r="F117" s="14" t="s">
        <v>280</v>
      </c>
      <c r="G117" s="14"/>
      <c r="H117" s="14" t="s">
        <v>333</v>
      </c>
      <c r="I117" s="14" t="s">
        <v>334</v>
      </c>
      <c r="J117" s="14" t="s">
        <v>328</v>
      </c>
      <c r="K117" s="14" t="s">
        <v>329</v>
      </c>
      <c r="L117" s="14" t="s">
        <v>330</v>
      </c>
      <c r="M117" s="14" t="s">
        <v>320</v>
      </c>
      <c r="N117" s="14" t="s">
        <v>324</v>
      </c>
      <c r="O117" s="14" t="s">
        <v>325</v>
      </c>
      <c r="P117" s="14" t="s">
        <v>331</v>
      </c>
      <c r="Q117" s="41" t="s">
        <v>339</v>
      </c>
      <c r="R117" s="41" t="s">
        <v>340</v>
      </c>
      <c r="S117" s="41" t="s">
        <v>341</v>
      </c>
    </row>
    <row r="118" spans="5:19" x14ac:dyDescent="0.3">
      <c r="E118" s="16" t="s">
        <v>250</v>
      </c>
      <c r="F118" s="16"/>
      <c r="G118" s="16"/>
      <c r="H118" s="16">
        <v>0.218</v>
      </c>
      <c r="I118" s="40">
        <f>H118*2.2046</f>
        <v>0.4806028</v>
      </c>
      <c r="J118" s="16">
        <v>-10.76</v>
      </c>
      <c r="K118" s="16">
        <v>0</v>
      </c>
      <c r="L118" s="16">
        <v>0</v>
      </c>
      <c r="M118" s="16">
        <v>0.16</v>
      </c>
      <c r="N118" s="16">
        <v>0.21</v>
      </c>
      <c r="O118" s="16">
        <v>0.21</v>
      </c>
      <c r="P118" s="16">
        <v>0</v>
      </c>
      <c r="Q118" s="38">
        <f t="shared" ref="Q118:S119" si="24">J118*$I118</f>
        <v>-5.1712861280000002</v>
      </c>
      <c r="R118" s="38">
        <f t="shared" si="24"/>
        <v>0</v>
      </c>
      <c r="S118" s="38">
        <f t="shared" si="24"/>
        <v>0</v>
      </c>
    </row>
    <row r="119" spans="5:19" x14ac:dyDescent="0.3">
      <c r="E119" s="16" t="s">
        <v>24</v>
      </c>
      <c r="F119" s="16"/>
      <c r="G119" s="16"/>
      <c r="H119" s="16">
        <v>0.69299999999999995</v>
      </c>
      <c r="I119" s="40">
        <f t="shared" ref="I119:I125" si="25">H119*2.2046</f>
        <v>1.5277878</v>
      </c>
      <c r="J119" s="16">
        <v>-2.88</v>
      </c>
      <c r="K119" s="16">
        <v>0</v>
      </c>
      <c r="L119" s="16">
        <v>0.85</v>
      </c>
      <c r="M119" s="16">
        <v>0.89</v>
      </c>
      <c r="N119" s="16">
        <v>4.92</v>
      </c>
      <c r="O119" s="16">
        <v>5.01</v>
      </c>
      <c r="P119" s="16">
        <v>0</v>
      </c>
      <c r="Q119" s="38">
        <f t="shared" si="24"/>
        <v>-4.4000288640000003</v>
      </c>
      <c r="R119" s="38">
        <f t="shared" si="24"/>
        <v>0</v>
      </c>
      <c r="S119" s="38">
        <f t="shared" si="24"/>
        <v>1.2986196299999999</v>
      </c>
    </row>
    <row r="120" spans="5:19" x14ac:dyDescent="0.3">
      <c r="E120" s="16" t="s">
        <v>255</v>
      </c>
      <c r="F120" s="16"/>
      <c r="G120" s="16"/>
      <c r="H120" s="16">
        <v>0.06</v>
      </c>
      <c r="I120" s="40">
        <f t="shared" si="25"/>
        <v>0.132276</v>
      </c>
      <c r="J120" s="16">
        <v>-3.61</v>
      </c>
      <c r="K120" s="16">
        <v>-2.3199999999999998</v>
      </c>
      <c r="L120" s="16">
        <v>0.75</v>
      </c>
      <c r="M120" s="16">
        <v>0.03</v>
      </c>
      <c r="N120" s="16">
        <v>0.13</v>
      </c>
      <c r="O120" s="16">
        <v>0.12</v>
      </c>
      <c r="P120" s="16">
        <v>0</v>
      </c>
      <c r="Q120" s="38">
        <f t="shared" ref="Q120:Q125" si="26">J120*$I120</f>
        <v>-0.47751635999999997</v>
      </c>
      <c r="R120" s="38">
        <f t="shared" ref="R120:R125" si="27">K120*$I120</f>
        <v>-0.30688031999999998</v>
      </c>
      <c r="S120" s="38">
        <f t="shared" ref="S120:S125" si="28">L120*$I120</f>
        <v>9.9207000000000004E-2</v>
      </c>
    </row>
    <row r="121" spans="5:19" x14ac:dyDescent="0.3">
      <c r="E121" s="16" t="s">
        <v>335</v>
      </c>
      <c r="F121" s="16"/>
      <c r="G121" s="16"/>
      <c r="H121" s="16">
        <v>0.04</v>
      </c>
      <c r="I121" s="40">
        <f t="shared" si="25"/>
        <v>8.8184000000000012E-2</v>
      </c>
      <c r="J121" s="16">
        <v>4.6900000000000004</v>
      </c>
      <c r="K121" s="16">
        <v>-17.93</v>
      </c>
      <c r="L121" s="16">
        <v>-0.2</v>
      </c>
      <c r="M121" s="16">
        <v>0.01</v>
      </c>
      <c r="N121" s="16">
        <v>0.01</v>
      </c>
      <c r="O121" s="16">
        <v>0.01</v>
      </c>
      <c r="P121" s="16">
        <v>0</v>
      </c>
      <c r="Q121" s="38">
        <f t="shared" si="26"/>
        <v>0.41358296000000011</v>
      </c>
      <c r="R121" s="38">
        <f t="shared" si="27"/>
        <v>-1.5811391200000002</v>
      </c>
      <c r="S121" s="38">
        <f t="shared" si="28"/>
        <v>-1.7636800000000005E-2</v>
      </c>
    </row>
    <row r="122" spans="5:19" x14ac:dyDescent="0.3">
      <c r="E122" s="16" t="s">
        <v>336</v>
      </c>
      <c r="F122" s="16"/>
      <c r="G122" s="16"/>
      <c r="H122" s="16">
        <v>0.04</v>
      </c>
      <c r="I122" s="40">
        <f t="shared" si="25"/>
        <v>8.8184000000000012E-2</v>
      </c>
      <c r="J122" s="16">
        <v>4.6900000000000004</v>
      </c>
      <c r="K122" s="16">
        <v>17.93</v>
      </c>
      <c r="L122" s="16">
        <v>-0.2</v>
      </c>
      <c r="M122" s="16">
        <v>0.01</v>
      </c>
      <c r="N122" s="16">
        <v>0.01</v>
      </c>
      <c r="O122" s="16">
        <v>0.01</v>
      </c>
      <c r="P122" s="16">
        <v>0</v>
      </c>
      <c r="Q122" s="38">
        <f t="shared" si="26"/>
        <v>0.41358296000000011</v>
      </c>
      <c r="R122" s="38">
        <f t="shared" si="27"/>
        <v>1.5811391200000002</v>
      </c>
      <c r="S122" s="38">
        <f t="shared" si="28"/>
        <v>-1.7636800000000005E-2</v>
      </c>
    </row>
    <row r="123" spans="5:19" x14ac:dyDescent="0.3">
      <c r="E123" s="16" t="s">
        <v>337</v>
      </c>
      <c r="F123" s="16"/>
      <c r="G123" s="16"/>
      <c r="H123" s="16">
        <v>0.04</v>
      </c>
      <c r="I123" s="40">
        <f t="shared" si="25"/>
        <v>8.8184000000000012E-2</v>
      </c>
      <c r="J123" s="16"/>
      <c r="K123" s="16"/>
      <c r="L123" s="16"/>
      <c r="M123" s="16"/>
      <c r="N123" s="16"/>
      <c r="O123" s="16"/>
      <c r="P123" s="16"/>
      <c r="Q123" s="38">
        <f t="shared" si="26"/>
        <v>0</v>
      </c>
      <c r="R123" s="38">
        <f t="shared" si="27"/>
        <v>0</v>
      </c>
      <c r="S123" s="38">
        <f t="shared" si="28"/>
        <v>0</v>
      </c>
    </row>
    <row r="124" spans="5:19" x14ac:dyDescent="0.3">
      <c r="E124" s="16" t="s">
        <v>338</v>
      </c>
      <c r="F124" s="16"/>
      <c r="G124" s="16"/>
      <c r="H124" s="16">
        <v>0.04</v>
      </c>
      <c r="I124" s="40">
        <f t="shared" si="25"/>
        <v>8.8184000000000012E-2</v>
      </c>
      <c r="J124" s="16"/>
      <c r="K124" s="16"/>
      <c r="L124" s="16"/>
      <c r="M124" s="16"/>
      <c r="N124" s="16"/>
      <c r="O124" s="16"/>
      <c r="P124" s="16"/>
      <c r="Q124" s="38">
        <f t="shared" si="26"/>
        <v>0</v>
      </c>
      <c r="R124" s="38">
        <f>K124*$I124</f>
        <v>0</v>
      </c>
      <c r="S124" s="38">
        <f t="shared" si="28"/>
        <v>0</v>
      </c>
    </row>
    <row r="125" spans="5:19" x14ac:dyDescent="0.3">
      <c r="E125" s="16" t="s">
        <v>28</v>
      </c>
      <c r="F125" s="16"/>
      <c r="G125" s="16"/>
      <c r="H125" s="16">
        <v>9.7000000000000003E-2</v>
      </c>
      <c r="I125" s="40">
        <f t="shared" si="25"/>
        <v>0.21384620000000001</v>
      </c>
      <c r="J125" s="16">
        <v>-8.49</v>
      </c>
      <c r="K125" s="16">
        <v>0</v>
      </c>
      <c r="L125" s="16">
        <v>-0.99</v>
      </c>
      <c r="M125" s="16">
        <v>1.82</v>
      </c>
      <c r="N125" s="16">
        <v>1.37</v>
      </c>
      <c r="O125" s="16">
        <v>1.41</v>
      </c>
      <c r="P125" s="16">
        <v>-0.1</v>
      </c>
      <c r="Q125" s="38">
        <f t="shared" si="26"/>
        <v>-1.8155542380000003</v>
      </c>
      <c r="R125" s="38">
        <f t="shared" si="27"/>
        <v>0</v>
      </c>
      <c r="S125" s="38">
        <f t="shared" si="28"/>
        <v>-0.21170773800000001</v>
      </c>
    </row>
    <row r="126" spans="5:19" x14ac:dyDescent="0.3">
      <c r="E126" s="42" t="s">
        <v>94</v>
      </c>
      <c r="F126" s="43"/>
      <c r="G126" s="43"/>
      <c r="H126" s="42">
        <f>SUM(H118:H125)</f>
        <v>1.228</v>
      </c>
      <c r="I126" s="44">
        <f>SUM(I118:I125)</f>
        <v>2.7072488000000003</v>
      </c>
      <c r="J126" s="43"/>
      <c r="K126" s="43"/>
      <c r="L126" s="43"/>
      <c r="M126" s="43"/>
      <c r="N126" s="43"/>
      <c r="O126" s="43"/>
      <c r="P126" s="43"/>
      <c r="Q126" s="43">
        <f>SUM(Q118:Q125)/$I$126</f>
        <v>-4.0769136807817592</v>
      </c>
      <c r="R126" s="43">
        <f>SUM(R118:R125)/$I$126</f>
        <v>-0.11335504885993487</v>
      </c>
      <c r="S126" s="43">
        <f>SUM(S118:S125)/$I$126</f>
        <v>0.42509771986970674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44"/>
  <sheetViews>
    <sheetView tabSelected="1" workbookViewId="0">
      <selection activeCell="E83" sqref="E83"/>
    </sheetView>
  </sheetViews>
  <sheetFormatPr defaultRowHeight="14.4" x14ac:dyDescent="0.3"/>
  <cols>
    <col min="1" max="1" width="37.109375" bestFit="1" customWidth="1"/>
    <col min="3" max="3" width="9.6640625" bestFit="1" customWidth="1"/>
    <col min="4" max="4" width="14.109375" bestFit="1" customWidth="1"/>
    <col min="5" max="5" width="10.33203125" bestFit="1" customWidth="1"/>
    <col min="6" max="6" width="12" bestFit="1" customWidth="1"/>
    <col min="7" max="7" width="18.88671875" customWidth="1"/>
    <col min="8" max="8" width="12" bestFit="1" customWidth="1"/>
    <col min="9" max="9" width="15.44140625" customWidth="1"/>
    <col min="10" max="10" width="21.109375" bestFit="1" customWidth="1"/>
    <col min="11" max="11" width="13.6640625" bestFit="1" customWidth="1"/>
    <col min="14" max="14" width="19" customWidth="1"/>
  </cols>
  <sheetData>
    <row r="1" spans="1:12" s="2" customFormat="1" x14ac:dyDescent="0.3">
      <c r="A1" s="1" t="s">
        <v>244</v>
      </c>
    </row>
    <row r="2" spans="1:12" x14ac:dyDescent="0.3">
      <c r="A2" t="s">
        <v>34</v>
      </c>
      <c r="B2">
        <v>293</v>
      </c>
      <c r="C2" t="s">
        <v>35</v>
      </c>
    </row>
    <row r="3" spans="1:12" x14ac:dyDescent="0.3">
      <c r="A3" t="s">
        <v>46</v>
      </c>
      <c r="B3">
        <v>62</v>
      </c>
      <c r="C3" t="s">
        <v>35</v>
      </c>
    </row>
    <row r="4" spans="1:12" x14ac:dyDescent="0.3">
      <c r="A4" t="s">
        <v>47</v>
      </c>
      <c r="B4">
        <v>29</v>
      </c>
      <c r="C4" t="s">
        <v>35</v>
      </c>
    </row>
    <row r="5" spans="1:12" x14ac:dyDescent="0.3">
      <c r="A5" t="s">
        <v>36</v>
      </c>
      <c r="B5">
        <v>98</v>
      </c>
      <c r="C5" t="s">
        <v>38</v>
      </c>
      <c r="D5">
        <f>B5*144</f>
        <v>14112</v>
      </c>
      <c r="E5" t="s">
        <v>37</v>
      </c>
    </row>
    <row r="6" spans="1:12" x14ac:dyDescent="0.3">
      <c r="A6" t="s">
        <v>39</v>
      </c>
      <c r="B6">
        <v>247</v>
      </c>
      <c r="C6" t="s">
        <v>35</v>
      </c>
    </row>
    <row r="7" spans="1:12" x14ac:dyDescent="0.3">
      <c r="A7" t="s">
        <v>40</v>
      </c>
      <c r="B7">
        <f>(7*12)+9</f>
        <v>93</v>
      </c>
      <c r="C7" t="s">
        <v>35</v>
      </c>
    </row>
    <row r="8" spans="1:12" x14ac:dyDescent="0.3">
      <c r="A8" t="s">
        <v>41</v>
      </c>
      <c r="B8">
        <f>(8*12)+1</f>
        <v>97</v>
      </c>
      <c r="C8" t="s">
        <v>35</v>
      </c>
    </row>
    <row r="9" spans="1:12" x14ac:dyDescent="0.3">
      <c r="A9" t="s">
        <v>42</v>
      </c>
      <c r="B9">
        <v>22</v>
      </c>
      <c r="C9" t="s">
        <v>38</v>
      </c>
      <c r="D9">
        <f>B9*144</f>
        <v>3168</v>
      </c>
      <c r="E9" t="s">
        <v>37</v>
      </c>
    </row>
    <row r="10" spans="1:12" x14ac:dyDescent="0.3">
      <c r="A10" t="s">
        <v>43</v>
      </c>
      <c r="B10">
        <f>D10/144</f>
        <v>14.069444444444445</v>
      </c>
      <c r="C10" t="s">
        <v>38</v>
      </c>
      <c r="D10">
        <f>(14*144)+10</f>
        <v>2026</v>
      </c>
      <c r="E10" t="s">
        <v>37</v>
      </c>
    </row>
    <row r="11" spans="1:12" x14ac:dyDescent="0.3">
      <c r="A11" t="s">
        <v>44</v>
      </c>
      <c r="B11">
        <f>D11/12</f>
        <v>5.166666666666667</v>
      </c>
      <c r="C11" t="s">
        <v>45</v>
      </c>
      <c r="D11">
        <f>(5*12)+2</f>
        <v>62</v>
      </c>
      <c r="E11" t="s">
        <v>37</v>
      </c>
    </row>
    <row r="12" spans="1:12" x14ac:dyDescent="0.3">
      <c r="I12" t="s">
        <v>49</v>
      </c>
      <c r="J12">
        <v>658</v>
      </c>
    </row>
    <row r="13" spans="1:12" x14ac:dyDescent="0.3">
      <c r="A13" t="s">
        <v>48</v>
      </c>
      <c r="B13">
        <f>B2*(AVERAGE(B3,B4))</f>
        <v>13331.5</v>
      </c>
      <c r="C13" t="s">
        <v>37</v>
      </c>
    </row>
    <row r="14" spans="1:12" x14ac:dyDescent="0.3">
      <c r="A14" t="s">
        <v>50</v>
      </c>
      <c r="B14">
        <f>B2/(AVERAGE(B3:B4))</f>
        <v>6.4395604395604398</v>
      </c>
      <c r="C14" s="6" t="s">
        <v>51</v>
      </c>
    </row>
    <row r="15" spans="1:12" x14ac:dyDescent="0.3">
      <c r="C15">
        <v>65</v>
      </c>
      <c r="J15">
        <v>0.3</v>
      </c>
      <c r="K15">
        <v>13.75</v>
      </c>
      <c r="L15">
        <v>6.5</v>
      </c>
    </row>
    <row r="16" spans="1:12" s="2" customFormat="1" x14ac:dyDescent="0.3">
      <c r="A16" s="1" t="s">
        <v>0</v>
      </c>
    </row>
    <row r="17" spans="1:15" s="3" customFormat="1" x14ac:dyDescent="0.3">
      <c r="C17" s="3" t="s">
        <v>1</v>
      </c>
      <c r="D17" s="3" t="s">
        <v>263</v>
      </c>
      <c r="E17" s="3" t="s">
        <v>3</v>
      </c>
      <c r="F17" s="3" t="s">
        <v>4</v>
      </c>
      <c r="G17" s="3" t="s">
        <v>5</v>
      </c>
      <c r="H17" s="3" t="s">
        <v>6</v>
      </c>
      <c r="I17" s="3" t="s">
        <v>222</v>
      </c>
      <c r="J17" s="3" t="s">
        <v>221</v>
      </c>
      <c r="K17" s="3" t="s">
        <v>180</v>
      </c>
      <c r="L17" s="3" t="s">
        <v>9</v>
      </c>
      <c r="M17" s="3" t="s">
        <v>10</v>
      </c>
      <c r="O17" s="3" t="s">
        <v>253</v>
      </c>
    </row>
    <row r="18" spans="1:15" x14ac:dyDescent="0.3">
      <c r="A18" t="s">
        <v>11</v>
      </c>
      <c r="C18">
        <v>64</v>
      </c>
      <c r="D18">
        <f>AVERAGE(L18:M18)</f>
        <v>10.625</v>
      </c>
      <c r="E18">
        <f>C18*D18</f>
        <v>680</v>
      </c>
      <c r="F18">
        <f>E18/144</f>
        <v>4.7222222222222223</v>
      </c>
      <c r="G18">
        <f>C18/D18</f>
        <v>6.0235294117647058</v>
      </c>
      <c r="H18">
        <f>I18/2.2046</f>
        <v>0.4910000000000001</v>
      </c>
      <c r="I18" s="36">
        <f>'Mass Breakdown'!I49</f>
        <v>1.0824586000000003</v>
      </c>
      <c r="J18" s="36">
        <f>I18/F18</f>
        <v>0.22922652705882357</v>
      </c>
      <c r="K18" s="10">
        <f>H18/H38</f>
        <v>0.19297314976729765</v>
      </c>
      <c r="L18">
        <f>B44</f>
        <v>14.25</v>
      </c>
      <c r="M18">
        <f>B58</f>
        <v>7</v>
      </c>
    </row>
    <row r="19" spans="1:15" s="3" customFormat="1" x14ac:dyDescent="0.3">
      <c r="C19" s="3" t="s">
        <v>12</v>
      </c>
      <c r="H19" s="3" t="s">
        <v>6</v>
      </c>
      <c r="I19" s="3" t="s">
        <v>216</v>
      </c>
      <c r="K19" s="11"/>
    </row>
    <row r="20" spans="1:15" x14ac:dyDescent="0.3">
      <c r="A20" t="s">
        <v>15</v>
      </c>
      <c r="C20">
        <v>54.7</v>
      </c>
      <c r="H20" s="36">
        <f>I20/2.2046</f>
        <v>0.43546273121264634</v>
      </c>
      <c r="I20" s="36">
        <f>'Mass Breakdown'!I28</f>
        <v>0.96002113723140015</v>
      </c>
      <c r="K20" s="10">
        <f>H20/$H$38</f>
        <v>0.17114585508833904</v>
      </c>
    </row>
    <row r="21" spans="1:15" s="3" customFormat="1" x14ac:dyDescent="0.3">
      <c r="C21" s="3" t="s">
        <v>1</v>
      </c>
      <c r="D21" s="3" t="s">
        <v>17</v>
      </c>
      <c r="E21" s="3" t="s">
        <v>3</v>
      </c>
      <c r="F21" s="3" t="s">
        <v>4</v>
      </c>
      <c r="G21" s="3" t="s">
        <v>5</v>
      </c>
      <c r="H21" s="3" t="s">
        <v>6</v>
      </c>
      <c r="I21" s="3" t="s">
        <v>7</v>
      </c>
      <c r="J21" s="3" t="s">
        <v>221</v>
      </c>
      <c r="K21" s="11"/>
    </row>
    <row r="22" spans="1:15" x14ac:dyDescent="0.3">
      <c r="A22" t="s">
        <v>18</v>
      </c>
      <c r="C22">
        <v>21.5</v>
      </c>
      <c r="D22">
        <f>E22/C22</f>
        <v>7.2618604651162793</v>
      </c>
      <c r="E22">
        <v>156.13</v>
      </c>
      <c r="F22">
        <f>E22/144</f>
        <v>1.0842361111111112</v>
      </c>
      <c r="G22">
        <f>C22/D22</f>
        <v>2.9606737974764616</v>
      </c>
      <c r="H22" s="36">
        <f>I22/2.2046</f>
        <v>0.12622283357298378</v>
      </c>
      <c r="I22" s="36">
        <f>'Mass Breakdown'!I75</f>
        <v>0.27827085889500003</v>
      </c>
      <c r="J22" s="36">
        <f>I22/F22</f>
        <v>0.25665153193415746</v>
      </c>
      <c r="K22" s="10">
        <f>H22/$H$38</f>
        <v>4.9608182825116254E-2</v>
      </c>
    </row>
    <row r="23" spans="1:15" s="3" customFormat="1" x14ac:dyDescent="0.3">
      <c r="C23" s="3" t="s">
        <v>19</v>
      </c>
      <c r="D23" s="3" t="s">
        <v>17</v>
      </c>
      <c r="E23" s="3" t="s">
        <v>3</v>
      </c>
      <c r="F23" s="3" t="s">
        <v>4</v>
      </c>
      <c r="G23" s="3" t="s">
        <v>5</v>
      </c>
      <c r="H23" s="3" t="s">
        <v>6</v>
      </c>
      <c r="I23" s="3" t="s">
        <v>7</v>
      </c>
      <c r="J23" s="3" t="s">
        <v>221</v>
      </c>
      <c r="K23" s="11"/>
    </row>
    <row r="24" spans="1:15" x14ac:dyDescent="0.3">
      <c r="A24" t="s">
        <v>20</v>
      </c>
      <c r="C24">
        <v>13.75</v>
      </c>
      <c r="D24">
        <f>AVERAGE(L24,M24)</f>
        <v>7.25</v>
      </c>
      <c r="E24">
        <f>D24*C24</f>
        <v>99.6875</v>
      </c>
      <c r="F24">
        <f>E24/144</f>
        <v>0.69227430555555558</v>
      </c>
      <c r="H24" s="36">
        <f>I24/2.2046</f>
        <v>7.946929352412084E-2</v>
      </c>
      <c r="I24" s="36">
        <f>'Mass Breakdown'!K100</f>
        <v>0.1751980045032768</v>
      </c>
      <c r="J24" s="36">
        <f>I24/F24</f>
        <v>0.2530759889501879</v>
      </c>
      <c r="K24" s="10">
        <f>H24/$H$38</f>
        <v>3.1233075114320785E-2</v>
      </c>
      <c r="L24">
        <v>11</v>
      </c>
      <c r="M24">
        <v>3.5</v>
      </c>
    </row>
    <row r="25" spans="1:15" s="3" customFormat="1" x14ac:dyDescent="0.3">
      <c r="C25" s="3" t="s">
        <v>21</v>
      </c>
      <c r="H25" s="3" t="s">
        <v>6</v>
      </c>
      <c r="K25" s="11"/>
    </row>
    <row r="26" spans="1:15" x14ac:dyDescent="0.3">
      <c r="A26" t="s">
        <v>250</v>
      </c>
      <c r="C26" t="s">
        <v>252</v>
      </c>
      <c r="H26">
        <f>'Mass Breakdown'!H118</f>
        <v>0.218</v>
      </c>
      <c r="I26" s="36">
        <f>H26*2.2046</f>
        <v>0.4806028</v>
      </c>
      <c r="K26" s="10">
        <f>H26/$H$38</f>
        <v>8.5678506413993646E-2</v>
      </c>
      <c r="O26">
        <v>79.989999999999995</v>
      </c>
    </row>
    <row r="27" spans="1:15" s="3" customFormat="1" x14ac:dyDescent="0.3">
      <c r="K27" s="11"/>
    </row>
    <row r="28" spans="1:15" x14ac:dyDescent="0.3">
      <c r="A28" t="s">
        <v>24</v>
      </c>
      <c r="H28">
        <f>'Mass Breakdown'!H119</f>
        <v>0.69299999999999995</v>
      </c>
      <c r="I28" s="36">
        <f>H28*2.2046</f>
        <v>1.5277878</v>
      </c>
      <c r="K28" s="10">
        <f>H28/$H$38</f>
        <v>0.27236332543531006</v>
      </c>
      <c r="N28" t="s">
        <v>249</v>
      </c>
      <c r="O28">
        <v>89.14</v>
      </c>
    </row>
    <row r="29" spans="1:15" s="3" customFormat="1" x14ac:dyDescent="0.3">
      <c r="K29" s="11"/>
    </row>
    <row r="30" spans="1:15" x14ac:dyDescent="0.3">
      <c r="A30" t="s">
        <v>25</v>
      </c>
      <c r="H30" s="36">
        <f>I30/2.2046</f>
        <v>0.18424056971786265</v>
      </c>
      <c r="I30" s="36">
        <f>'Mass Breakdown'!I114</f>
        <v>0.40617676000000003</v>
      </c>
      <c r="K30" s="10">
        <f>H30/$H$38</f>
        <v>7.2410352450870366E-2</v>
      </c>
    </row>
    <row r="31" spans="1:15" s="3" customFormat="1" x14ac:dyDescent="0.3">
      <c r="K31" s="11"/>
    </row>
    <row r="32" spans="1:15" x14ac:dyDescent="0.3">
      <c r="A32" t="s">
        <v>255</v>
      </c>
      <c r="H32">
        <f>'Mass Breakdown'!H120</f>
        <v>0.06</v>
      </c>
      <c r="I32">
        <f>H32*2.2046</f>
        <v>0.132276</v>
      </c>
      <c r="K32" s="10">
        <f>H32/H38</f>
        <v>2.3581240297429442E-2</v>
      </c>
      <c r="O32">
        <v>69.95</v>
      </c>
    </row>
    <row r="33" spans="1:15" s="3" customFormat="1" x14ac:dyDescent="0.3">
      <c r="K33" s="11"/>
    </row>
    <row r="34" spans="1:15" x14ac:dyDescent="0.3">
      <c r="A34" t="s">
        <v>27</v>
      </c>
      <c r="H34">
        <f>SUM('Mass Breakdown'!H121:H124)</f>
        <v>0.16</v>
      </c>
      <c r="I34" s="36">
        <f>H34*2.2046</f>
        <v>0.35273600000000005</v>
      </c>
      <c r="K34" s="10">
        <f>H34/$H$38</f>
        <v>6.2883307459811855E-2</v>
      </c>
      <c r="N34" t="s">
        <v>271</v>
      </c>
      <c r="O34">
        <f>80*4</f>
        <v>320</v>
      </c>
    </row>
    <row r="35" spans="1:15" s="3" customFormat="1" x14ac:dyDescent="0.3">
      <c r="K35" s="11"/>
    </row>
    <row r="36" spans="1:15" x14ac:dyDescent="0.3">
      <c r="A36" t="s">
        <v>28</v>
      </c>
      <c r="H36">
        <f>'Mass Breakdown'!H125</f>
        <v>9.7000000000000003E-2</v>
      </c>
      <c r="I36" s="36">
        <f>H36*2.2046</f>
        <v>0.21384620000000001</v>
      </c>
      <c r="K36" s="10">
        <f>H36/$H$38</f>
        <v>3.8123005147510935E-2</v>
      </c>
    </row>
    <row r="38" spans="1:15" x14ac:dyDescent="0.3">
      <c r="G38" t="s">
        <v>29</v>
      </c>
      <c r="H38" s="37">
        <f>SUM(H18,H20,H22,H24,H26,H28,H30,H34,H36,H32)</f>
        <v>2.5443954280276135</v>
      </c>
      <c r="I38" t="s">
        <v>30</v>
      </c>
      <c r="J38" s="38">
        <f>H38*2.2046</f>
        <v>5.6093741606296774</v>
      </c>
      <c r="K38" t="s">
        <v>31</v>
      </c>
      <c r="N38" t="s">
        <v>254</v>
      </c>
      <c r="O38">
        <f>SUM(O18:O35)</f>
        <v>559.07999999999993</v>
      </c>
    </row>
    <row r="39" spans="1:15" x14ac:dyDescent="0.3">
      <c r="G39" t="s">
        <v>32</v>
      </c>
      <c r="H39" s="38">
        <f>(J38*16)/F18</f>
        <v>19.005879508957022</v>
      </c>
      <c r="I39" t="s">
        <v>110</v>
      </c>
    </row>
    <row r="40" spans="1:15" x14ac:dyDescent="0.3">
      <c r="G40" t="s">
        <v>308</v>
      </c>
      <c r="H40">
        <v>4.1159999999999997</v>
      </c>
      <c r="I40" t="s">
        <v>30</v>
      </c>
    </row>
    <row r="41" spans="1:15" x14ac:dyDescent="0.3">
      <c r="B41" t="s">
        <v>267</v>
      </c>
      <c r="C41" s="38">
        <f>(((H40*9.81)-9.81*H38)/H38)</f>
        <v>6.0593729579999032</v>
      </c>
      <c r="D41" t="s">
        <v>309</v>
      </c>
      <c r="G41" t="s">
        <v>251</v>
      </c>
      <c r="H41" s="38">
        <f>H40/H38</f>
        <v>1.6176730844036598</v>
      </c>
      <c r="I41" t="s">
        <v>51</v>
      </c>
    </row>
    <row r="42" spans="1:15" s="23" customFormat="1" x14ac:dyDescent="0.3">
      <c r="A42" s="22" t="s">
        <v>54</v>
      </c>
    </row>
    <row r="43" spans="1:15" x14ac:dyDescent="0.3">
      <c r="A43" t="s">
        <v>57</v>
      </c>
      <c r="B43" s="24">
        <v>29.5</v>
      </c>
      <c r="C43" t="s">
        <v>35</v>
      </c>
    </row>
    <row r="44" spans="1:15" x14ac:dyDescent="0.3">
      <c r="A44" t="s">
        <v>58</v>
      </c>
      <c r="B44" s="24">
        <v>14.25</v>
      </c>
      <c r="C44" t="s">
        <v>35</v>
      </c>
    </row>
    <row r="45" spans="1:15" x14ac:dyDescent="0.3">
      <c r="A45" t="s">
        <v>59</v>
      </c>
      <c r="B45">
        <v>0.2</v>
      </c>
      <c r="C45" s="6" t="s">
        <v>68</v>
      </c>
    </row>
    <row r="46" spans="1:15" x14ac:dyDescent="0.3">
      <c r="A46" t="s">
        <v>60</v>
      </c>
      <c r="B46">
        <v>1.5</v>
      </c>
      <c r="C46" s="6" t="s">
        <v>35</v>
      </c>
    </row>
    <row r="47" spans="1:15" x14ac:dyDescent="0.3">
      <c r="A47" t="s">
        <v>61</v>
      </c>
      <c r="B47">
        <v>0.25</v>
      </c>
      <c r="C47" t="s">
        <v>35</v>
      </c>
    </row>
    <row r="48" spans="1:15" x14ac:dyDescent="0.3">
      <c r="A48" t="s">
        <v>62</v>
      </c>
      <c r="B48">
        <v>0.5</v>
      </c>
      <c r="C48" t="s">
        <v>35</v>
      </c>
    </row>
    <row r="49" spans="1:4" x14ac:dyDescent="0.3">
      <c r="A49" t="s">
        <v>63</v>
      </c>
      <c r="B49">
        <v>0</v>
      </c>
      <c r="C49" t="s">
        <v>35</v>
      </c>
      <c r="D49" t="s">
        <v>80</v>
      </c>
    </row>
    <row r="50" spans="1:4" x14ac:dyDescent="0.3">
      <c r="A50" t="s">
        <v>64</v>
      </c>
      <c r="B50">
        <v>0.25</v>
      </c>
      <c r="C50" t="s">
        <v>35</v>
      </c>
    </row>
    <row r="51" spans="1:4" x14ac:dyDescent="0.3">
      <c r="A51" t="s">
        <v>65</v>
      </c>
      <c r="B51">
        <v>0</v>
      </c>
      <c r="C51" t="s">
        <v>35</v>
      </c>
      <c r="D51" t="s">
        <v>81</v>
      </c>
    </row>
    <row r="52" spans="1:4" x14ac:dyDescent="0.3">
      <c r="A52" t="s">
        <v>66</v>
      </c>
      <c r="B52">
        <v>0</v>
      </c>
      <c r="C52" s="6" t="s">
        <v>68</v>
      </c>
      <c r="D52" t="s">
        <v>84</v>
      </c>
    </row>
    <row r="53" spans="1:4" x14ac:dyDescent="0.3">
      <c r="A53" t="s">
        <v>67</v>
      </c>
      <c r="B53">
        <v>0.2</v>
      </c>
      <c r="C53" t="s">
        <v>35</v>
      </c>
    </row>
    <row r="54" spans="1:4" x14ac:dyDescent="0.3">
      <c r="A54" t="s">
        <v>69</v>
      </c>
      <c r="B54">
        <v>0.3</v>
      </c>
      <c r="C54" t="s">
        <v>35</v>
      </c>
    </row>
    <row r="55" spans="1:4" x14ac:dyDescent="0.3">
      <c r="A55" t="s">
        <v>70</v>
      </c>
      <c r="B55">
        <v>0</v>
      </c>
      <c r="C55" t="s">
        <v>35</v>
      </c>
      <c r="D55" t="s">
        <v>84</v>
      </c>
    </row>
    <row r="56" spans="1:4" x14ac:dyDescent="0.3">
      <c r="A56" t="s">
        <v>71</v>
      </c>
      <c r="B56">
        <f>3/16</f>
        <v>0.1875</v>
      </c>
      <c r="C56" t="s">
        <v>35</v>
      </c>
    </row>
    <row r="57" spans="1:4" x14ac:dyDescent="0.3">
      <c r="A57" t="s">
        <v>72</v>
      </c>
      <c r="B57">
        <v>0</v>
      </c>
      <c r="C57" t="s">
        <v>35</v>
      </c>
      <c r="D57" t="s">
        <v>81</v>
      </c>
    </row>
    <row r="58" spans="1:4" x14ac:dyDescent="0.3">
      <c r="A58" t="s">
        <v>73</v>
      </c>
      <c r="B58">
        <v>7</v>
      </c>
      <c r="C58" t="s">
        <v>35</v>
      </c>
    </row>
    <row r="59" spans="1:4" x14ac:dyDescent="0.3">
      <c r="A59" t="s">
        <v>74</v>
      </c>
      <c r="B59">
        <v>0.25</v>
      </c>
      <c r="C59" s="6" t="s">
        <v>68</v>
      </c>
    </row>
    <row r="60" spans="1:4" x14ac:dyDescent="0.3">
      <c r="A60" t="s">
        <v>75</v>
      </c>
      <c r="B60">
        <v>1</v>
      </c>
      <c r="C60" t="s">
        <v>35</v>
      </c>
    </row>
    <row r="61" spans="1:4" x14ac:dyDescent="0.3">
      <c r="A61" t="s">
        <v>76</v>
      </c>
      <c r="B61">
        <v>1</v>
      </c>
      <c r="C61" t="s">
        <v>56</v>
      </c>
    </row>
    <row r="62" spans="1:4" x14ac:dyDescent="0.3">
      <c r="A62" t="s">
        <v>77</v>
      </c>
      <c r="B62">
        <v>0.125</v>
      </c>
      <c r="C62" t="s">
        <v>35</v>
      </c>
      <c r="D62" t="s">
        <v>82</v>
      </c>
    </row>
    <row r="63" spans="1:4" x14ac:dyDescent="0.3">
      <c r="A63" t="s">
        <v>87</v>
      </c>
      <c r="B63">
        <f>1/16</f>
        <v>6.25E-2</v>
      </c>
      <c r="C63" t="s">
        <v>35</v>
      </c>
      <c r="D63" t="s">
        <v>55</v>
      </c>
    </row>
    <row r="64" spans="1:4" x14ac:dyDescent="0.3">
      <c r="A64" t="s">
        <v>88</v>
      </c>
      <c r="B64">
        <v>0.2</v>
      </c>
      <c r="C64" t="s">
        <v>35</v>
      </c>
      <c r="D64" t="s">
        <v>83</v>
      </c>
    </row>
    <row r="65" spans="1:7" x14ac:dyDescent="0.3">
      <c r="A65" t="s">
        <v>78</v>
      </c>
      <c r="B65">
        <f>1/8</f>
        <v>0.125</v>
      </c>
      <c r="C65" t="s">
        <v>35</v>
      </c>
      <c r="D65" t="s">
        <v>55</v>
      </c>
    </row>
    <row r="66" spans="1:7" x14ac:dyDescent="0.3">
      <c r="A66" t="s">
        <v>79</v>
      </c>
      <c r="B66">
        <f>(14.25-7)/28.6</f>
        <v>0.25349650349650349</v>
      </c>
    </row>
    <row r="67" spans="1:7" x14ac:dyDescent="0.3">
      <c r="A67" t="s">
        <v>86</v>
      </c>
      <c r="B67">
        <f>14.25-B66*7.5</f>
        <v>12.348776223776223</v>
      </c>
      <c r="C67" t="s">
        <v>35</v>
      </c>
    </row>
    <row r="68" spans="1:7" x14ac:dyDescent="0.3">
      <c r="A68" t="s">
        <v>85</v>
      </c>
      <c r="B68">
        <f>14.25-B66*(14.627)</f>
        <v>10.542106643356643</v>
      </c>
      <c r="C68" t="s">
        <v>35</v>
      </c>
    </row>
    <row r="69" spans="1:7" x14ac:dyDescent="0.3">
      <c r="A69" t="s">
        <v>89</v>
      </c>
      <c r="B69">
        <f>14.25-B66*(21.627)</f>
        <v>8.7676311188811198</v>
      </c>
    </row>
    <row r="70" spans="1:7" x14ac:dyDescent="0.3">
      <c r="A70" t="s">
        <v>233</v>
      </c>
      <c r="B70">
        <v>22</v>
      </c>
      <c r="C70" t="s">
        <v>35</v>
      </c>
    </row>
    <row r="72" spans="1:7" s="23" customFormat="1" x14ac:dyDescent="0.3">
      <c r="A72" s="22" t="s">
        <v>245</v>
      </c>
    </row>
    <row r="73" spans="1:7" x14ac:dyDescent="0.3">
      <c r="A73" t="s">
        <v>51</v>
      </c>
      <c r="B73">
        <v>0.5</v>
      </c>
    </row>
    <row r="74" spans="1:7" x14ac:dyDescent="0.3">
      <c r="A74" t="s">
        <v>170</v>
      </c>
      <c r="B74">
        <v>2.3800000000000002E-3</v>
      </c>
      <c r="C74" t="s">
        <v>169</v>
      </c>
    </row>
    <row r="75" spans="1:7" x14ac:dyDescent="0.3">
      <c r="A75" t="s">
        <v>171</v>
      </c>
      <c r="B75">
        <v>22.3</v>
      </c>
      <c r="C75" t="s">
        <v>172</v>
      </c>
      <c r="D75">
        <f>B75*3.28</f>
        <v>73.143999999999991</v>
      </c>
      <c r="E75" t="s">
        <v>173</v>
      </c>
      <c r="F75">
        <f>D75*(3600/5280)</f>
        <v>49.87090909090908</v>
      </c>
      <c r="G75" t="s">
        <v>181</v>
      </c>
    </row>
    <row r="76" spans="1:7" x14ac:dyDescent="0.3">
      <c r="A76" t="s">
        <v>174</v>
      </c>
      <c r="B76">
        <v>0.9</v>
      </c>
    </row>
    <row r="77" spans="1:7" x14ac:dyDescent="0.3">
      <c r="A77" t="s">
        <v>49</v>
      </c>
      <c r="B77">
        <f>E18</f>
        <v>680</v>
      </c>
      <c r="C77" t="s">
        <v>37</v>
      </c>
      <c r="D77">
        <f>B77/144</f>
        <v>4.7222222222222223</v>
      </c>
      <c r="E77" t="s">
        <v>38</v>
      </c>
    </row>
    <row r="78" spans="1:7" x14ac:dyDescent="0.3">
      <c r="A78" t="s">
        <v>175</v>
      </c>
      <c r="B78">
        <f>B73*B74*(D75^2)*B76*D77</f>
        <v>27.057851252319995</v>
      </c>
      <c r="C78" t="s">
        <v>53</v>
      </c>
    </row>
    <row r="79" spans="1:7" x14ac:dyDescent="0.3">
      <c r="A79" s="5" t="s">
        <v>176</v>
      </c>
      <c r="B79" s="5">
        <f>B78/J38</f>
        <v>4.8236845105163439</v>
      </c>
      <c r="C79" s="5" t="s">
        <v>51</v>
      </c>
    </row>
    <row r="80" spans="1:7" x14ac:dyDescent="0.3">
      <c r="A80" t="s">
        <v>177</v>
      </c>
      <c r="B80">
        <f>B79*32.2</f>
        <v>155.32264123862629</v>
      </c>
      <c r="C80" t="s">
        <v>178</v>
      </c>
    </row>
    <row r="81" spans="1:9" x14ac:dyDescent="0.3">
      <c r="A81" t="s">
        <v>179</v>
      </c>
      <c r="B81">
        <f>(D75^2)/B80</f>
        <v>34.444719027025705</v>
      </c>
      <c r="C81" t="s">
        <v>45</v>
      </c>
    </row>
    <row r="83" spans="1:9" x14ac:dyDescent="0.3">
      <c r="A83" t="s">
        <v>182</v>
      </c>
      <c r="B83">
        <f>(B79/17.13)*707.2</f>
        <v>199.14242182353524</v>
      </c>
      <c r="C83" t="s">
        <v>146</v>
      </c>
    </row>
    <row r="84" spans="1:9" x14ac:dyDescent="0.3">
      <c r="A84" t="s">
        <v>234</v>
      </c>
      <c r="B84">
        <f>B83/((B70/2)-2.75)</f>
        <v>24.138475372549728</v>
      </c>
      <c r="C84" t="s">
        <v>53</v>
      </c>
    </row>
    <row r="87" spans="1:9" x14ac:dyDescent="0.3">
      <c r="A87" s="5" t="s">
        <v>190</v>
      </c>
    </row>
    <row r="88" spans="1:9" x14ac:dyDescent="0.3">
      <c r="A88" t="s">
        <v>51</v>
      </c>
      <c r="B88">
        <v>0.5</v>
      </c>
    </row>
    <row r="89" spans="1:9" x14ac:dyDescent="0.3">
      <c r="A89" t="s">
        <v>170</v>
      </c>
      <c r="B89">
        <v>2.3800000000000002E-3</v>
      </c>
      <c r="C89" t="s">
        <v>169</v>
      </c>
    </row>
    <row r="90" spans="1:9" x14ac:dyDescent="0.3">
      <c r="A90" t="s">
        <v>171</v>
      </c>
      <c r="B90">
        <v>33</v>
      </c>
      <c r="C90" t="s">
        <v>172</v>
      </c>
      <c r="D90">
        <f>B90*3.28</f>
        <v>108.24</v>
      </c>
      <c r="E90" t="s">
        <v>173</v>
      </c>
      <c r="F90">
        <f>D90*(3600/5280)</f>
        <v>73.8</v>
      </c>
      <c r="G90" t="s">
        <v>181</v>
      </c>
    </row>
    <row r="91" spans="1:9" x14ac:dyDescent="0.3">
      <c r="A91" t="s">
        <v>183</v>
      </c>
      <c r="B91">
        <v>-0.13700000000000001</v>
      </c>
      <c r="D91" t="s">
        <v>185</v>
      </c>
      <c r="F91" t="s">
        <v>266</v>
      </c>
      <c r="G91">
        <v>11</v>
      </c>
      <c r="H91" t="s">
        <v>265</v>
      </c>
      <c r="I91">
        <f>B91/G91</f>
        <v>-1.2454545454545456E-2</v>
      </c>
    </row>
    <row r="92" spans="1:9" x14ac:dyDescent="0.3">
      <c r="A92" t="s">
        <v>49</v>
      </c>
      <c r="B92">
        <v>657.8</v>
      </c>
      <c r="C92" t="s">
        <v>37</v>
      </c>
      <c r="D92">
        <f>B92/144</f>
        <v>4.5680555555555555</v>
      </c>
      <c r="E92" t="s">
        <v>38</v>
      </c>
    </row>
    <row r="93" spans="1:9" x14ac:dyDescent="0.3">
      <c r="A93" t="s">
        <v>186</v>
      </c>
      <c r="B93">
        <f>B88*B89*(D90^2)*B91*D92</f>
        <v>-8.7251815586936008</v>
      </c>
      <c r="C93" t="s">
        <v>184</v>
      </c>
    </row>
    <row r="94" spans="1:9" x14ac:dyDescent="0.3">
      <c r="A94" t="s">
        <v>188</v>
      </c>
      <c r="B94" s="5">
        <f>B93/(H100/12)</f>
        <v>-3.9155639006852359</v>
      </c>
      <c r="C94" s="5" t="s">
        <v>31</v>
      </c>
    </row>
    <row r="100" spans="1:9" x14ac:dyDescent="0.3">
      <c r="G100" t="s">
        <v>187</v>
      </c>
      <c r="H100">
        <f>30-3.26</f>
        <v>26.740000000000002</v>
      </c>
      <c r="I100" t="s">
        <v>35</v>
      </c>
    </row>
    <row r="107" spans="1:9" x14ac:dyDescent="0.3">
      <c r="A107" t="s">
        <v>189</v>
      </c>
    </row>
    <row r="109" spans="1:9" x14ac:dyDescent="0.3">
      <c r="A109" t="s">
        <v>51</v>
      </c>
      <c r="B109">
        <v>0.5</v>
      </c>
    </row>
    <row r="110" spans="1:9" x14ac:dyDescent="0.3">
      <c r="A110" t="s">
        <v>170</v>
      </c>
      <c r="B110">
        <v>2.3800000000000002E-3</v>
      </c>
      <c r="C110" t="s">
        <v>169</v>
      </c>
    </row>
    <row r="111" spans="1:9" x14ac:dyDescent="0.3">
      <c r="A111" t="s">
        <v>171</v>
      </c>
      <c r="B111">
        <v>33</v>
      </c>
      <c r="C111" t="s">
        <v>172</v>
      </c>
      <c r="D111">
        <f>B111*3.28</f>
        <v>108.24</v>
      </c>
      <c r="E111" t="s">
        <v>173</v>
      </c>
      <c r="F111">
        <f>D111*(3600/5280)</f>
        <v>73.8</v>
      </c>
      <c r="G111" t="s">
        <v>181</v>
      </c>
    </row>
    <row r="112" spans="1:9" x14ac:dyDescent="0.3">
      <c r="A112" t="s">
        <v>174</v>
      </c>
      <c r="B112">
        <v>0.26</v>
      </c>
    </row>
    <row r="113" spans="1:7" x14ac:dyDescent="0.3">
      <c r="A113" t="s">
        <v>49</v>
      </c>
      <c r="B113">
        <f>E22</f>
        <v>156.13</v>
      </c>
      <c r="C113" t="s">
        <v>37</v>
      </c>
      <c r="D113">
        <f>B113/144</f>
        <v>1.0842361111111112</v>
      </c>
      <c r="E113" t="s">
        <v>38</v>
      </c>
    </row>
    <row r="114" spans="1:7" x14ac:dyDescent="0.3">
      <c r="A114" t="s">
        <v>175</v>
      </c>
      <c r="B114">
        <f>B109*B110*(D111^2)*B112*D113</f>
        <v>3.9302460885688002</v>
      </c>
      <c r="C114" t="s">
        <v>53</v>
      </c>
    </row>
    <row r="115" spans="1:7" x14ac:dyDescent="0.3">
      <c r="A115" s="5" t="s">
        <v>176</v>
      </c>
      <c r="B115" s="5">
        <f>B114/J38</f>
        <v>0.70065678915731522</v>
      </c>
      <c r="C115" s="5" t="s">
        <v>51</v>
      </c>
    </row>
    <row r="116" spans="1:7" x14ac:dyDescent="0.3">
      <c r="A116" t="s">
        <v>177</v>
      </c>
      <c r="B116">
        <f>B115*32.2</f>
        <v>22.561148610865551</v>
      </c>
      <c r="C116" t="s">
        <v>178</v>
      </c>
    </row>
    <row r="117" spans="1:7" x14ac:dyDescent="0.3">
      <c r="A117" t="s">
        <v>179</v>
      </c>
      <c r="B117">
        <f>(D111^2)/B116</f>
        <v>519.29526293521997</v>
      </c>
      <c r="C117" t="s">
        <v>45</v>
      </c>
    </row>
    <row r="119" spans="1:7" x14ac:dyDescent="0.3">
      <c r="A119" t="s">
        <v>182</v>
      </c>
      <c r="B119">
        <f>(B115/17.13)*707.2</f>
        <v>28.926122667370308</v>
      </c>
      <c r="C119" t="s">
        <v>146</v>
      </c>
    </row>
    <row r="124" spans="1:7" x14ac:dyDescent="0.3">
      <c r="A124" s="14" t="s">
        <v>223</v>
      </c>
      <c r="B124" s="15"/>
      <c r="C124" s="15"/>
      <c r="D124" s="15"/>
      <c r="E124" s="15"/>
      <c r="F124" s="15"/>
      <c r="G124" s="15"/>
    </row>
    <row r="125" spans="1:7" x14ac:dyDescent="0.3">
      <c r="A125" s="16" t="s">
        <v>224</v>
      </c>
      <c r="B125" s="16">
        <f>B111</f>
        <v>33</v>
      </c>
      <c r="C125" s="16"/>
      <c r="D125" s="16">
        <f>B125*3.28</f>
        <v>108.24</v>
      </c>
      <c r="E125" s="16" t="s">
        <v>173</v>
      </c>
      <c r="F125" s="16">
        <f>D125*(3600/5280)</f>
        <v>73.8</v>
      </c>
      <c r="G125" s="16" t="s">
        <v>181</v>
      </c>
    </row>
    <row r="126" spans="1:7" x14ac:dyDescent="0.3">
      <c r="A126" s="16" t="s">
        <v>225</v>
      </c>
      <c r="B126" s="16">
        <v>15000</v>
      </c>
      <c r="C126" s="16" t="s">
        <v>232</v>
      </c>
      <c r="D126" s="16">
        <f>B126/60</f>
        <v>250</v>
      </c>
      <c r="E126" s="16" t="s">
        <v>226</v>
      </c>
      <c r="F126" s="16"/>
      <c r="G126" s="16"/>
    </row>
    <row r="127" spans="1:7" x14ac:dyDescent="0.3">
      <c r="A127" s="16" t="s">
        <v>227</v>
      </c>
      <c r="B127" s="16">
        <v>12</v>
      </c>
      <c r="C127" s="16" t="s">
        <v>35</v>
      </c>
      <c r="D127" s="16">
        <v>1</v>
      </c>
      <c r="E127" s="16" t="s">
        <v>45</v>
      </c>
      <c r="F127" s="16"/>
      <c r="G127" s="16"/>
    </row>
    <row r="128" spans="1:7" x14ac:dyDescent="0.3">
      <c r="A128" s="16" t="s">
        <v>228</v>
      </c>
      <c r="B128" s="16">
        <f>D125/(D126*D127)</f>
        <v>0.43295999999999996</v>
      </c>
      <c r="C128" s="16" t="s">
        <v>51</v>
      </c>
      <c r="D128" s="16"/>
      <c r="E128" s="16"/>
      <c r="F128" s="16"/>
      <c r="G128" s="16"/>
    </row>
    <row r="129" spans="1:8" x14ac:dyDescent="0.3">
      <c r="A129" s="16" t="s">
        <v>229</v>
      </c>
      <c r="B129" s="16">
        <v>6</v>
      </c>
      <c r="C129" s="16" t="s">
        <v>35</v>
      </c>
      <c r="D129" s="16">
        <f>ATAN(B129/(3.1416*B127*0.75))</f>
        <v>0.20910416897666589</v>
      </c>
      <c r="E129" s="16" t="s">
        <v>230</v>
      </c>
      <c r="F129" s="16">
        <f>(D129*360)/(2*3.14)</f>
        <v>11.986863189745179</v>
      </c>
      <c r="G129" s="16" t="s">
        <v>231</v>
      </c>
    </row>
    <row r="132" spans="1:8" x14ac:dyDescent="0.3">
      <c r="A132" s="22" t="s">
        <v>316</v>
      </c>
      <c r="B132" s="23"/>
      <c r="C132" s="23"/>
      <c r="D132" s="23"/>
      <c r="E132" s="23"/>
      <c r="F132" s="23"/>
      <c r="G132" s="23"/>
    </row>
    <row r="133" spans="1:8" x14ac:dyDescent="0.3">
      <c r="A133" t="s">
        <v>51</v>
      </c>
      <c r="B133">
        <v>0.5</v>
      </c>
    </row>
    <row r="134" spans="1:8" x14ac:dyDescent="0.3">
      <c r="A134" t="s">
        <v>170</v>
      </c>
      <c r="B134">
        <v>2.3800000000000002E-3</v>
      </c>
      <c r="C134" t="s">
        <v>169</v>
      </c>
    </row>
    <row r="135" spans="1:8" x14ac:dyDescent="0.3">
      <c r="A135" t="s">
        <v>171</v>
      </c>
      <c r="B135">
        <v>35.1</v>
      </c>
      <c r="C135" t="s">
        <v>172</v>
      </c>
      <c r="D135">
        <f>B135*3.28</f>
        <v>115.128</v>
      </c>
      <c r="E135" t="s">
        <v>173</v>
      </c>
      <c r="F135">
        <f>D135*(3600/5280)</f>
        <v>78.496363636363625</v>
      </c>
      <c r="G135" t="s">
        <v>181</v>
      </c>
    </row>
    <row r="136" spans="1:8" x14ac:dyDescent="0.3">
      <c r="A136" t="s">
        <v>174</v>
      </c>
      <c r="B136">
        <v>1.2E-2</v>
      </c>
    </row>
    <row r="137" spans="1:8" x14ac:dyDescent="0.3">
      <c r="A137" t="s">
        <v>49</v>
      </c>
      <c r="B137">
        <f>E18</f>
        <v>680</v>
      </c>
      <c r="C137" t="s">
        <v>37</v>
      </c>
      <c r="D137">
        <f>B137/144</f>
        <v>4.7222222222222223</v>
      </c>
      <c r="E137" t="s">
        <v>38</v>
      </c>
    </row>
    <row r="138" spans="1:8" x14ac:dyDescent="0.3">
      <c r="A138" t="s">
        <v>317</v>
      </c>
      <c r="B138">
        <f>B133*B134*(D135^2)*B136*D137</f>
        <v>0.89379217549440004</v>
      </c>
      <c r="C138" t="s">
        <v>53</v>
      </c>
    </row>
    <row r="143" spans="1:8" x14ac:dyDescent="0.3">
      <c r="F143" t="s">
        <v>264</v>
      </c>
      <c r="G143">
        <v>0.14000000000000001</v>
      </c>
      <c r="H143" t="s">
        <v>93</v>
      </c>
    </row>
    <row r="144" spans="1:8" x14ac:dyDescent="0.3">
      <c r="G144">
        <v>0.06</v>
      </c>
      <c r="H144" t="s">
        <v>93</v>
      </c>
    </row>
  </sheetData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55DC-E8EF-42D2-9A06-7B016266FBC9}">
  <dimension ref="B2:G91"/>
  <sheetViews>
    <sheetView workbookViewId="0">
      <selection activeCell="K79" sqref="K79"/>
    </sheetView>
  </sheetViews>
  <sheetFormatPr defaultRowHeight="14.4" x14ac:dyDescent="0.3"/>
  <sheetData>
    <row r="2" spans="2:7" x14ac:dyDescent="0.3">
      <c r="B2" t="s">
        <v>350</v>
      </c>
      <c r="C2">
        <v>1.2E-2</v>
      </c>
    </row>
    <row r="3" spans="2:7" x14ac:dyDescent="0.3">
      <c r="B3" t="s">
        <v>349</v>
      </c>
      <c r="C3">
        <v>0.06</v>
      </c>
    </row>
    <row r="4" spans="2:7" x14ac:dyDescent="0.3">
      <c r="B4" t="s">
        <v>351</v>
      </c>
      <c r="C4">
        <v>6.3E-2</v>
      </c>
    </row>
    <row r="5" spans="2:7" x14ac:dyDescent="0.3">
      <c r="B5" t="s">
        <v>174</v>
      </c>
      <c r="C5">
        <v>0.82499999999999996</v>
      </c>
    </row>
    <row r="7" spans="2:7" x14ac:dyDescent="0.3">
      <c r="B7" t="s">
        <v>348</v>
      </c>
      <c r="C7">
        <f>C2+C3+(C4*(C5^2))</f>
        <v>0.11487937499999999</v>
      </c>
    </row>
    <row r="10" spans="2:7" x14ac:dyDescent="0.3">
      <c r="E10" t="s">
        <v>174</v>
      </c>
      <c r="F10" t="s">
        <v>348</v>
      </c>
      <c r="G10" t="s">
        <v>352</v>
      </c>
    </row>
    <row r="11" spans="2:7" x14ac:dyDescent="0.3">
      <c r="E11">
        <v>0.05</v>
      </c>
      <c r="F11">
        <f>$C$2+$C$3+($C$4*(E11^2))</f>
        <v>7.2157499999999999E-2</v>
      </c>
      <c r="G11">
        <f>E11/F11</f>
        <v>0.6929286629941448</v>
      </c>
    </row>
    <row r="12" spans="2:7" x14ac:dyDescent="0.3">
      <c r="E12">
        <v>0.1</v>
      </c>
      <c r="F12">
        <f t="shared" ref="F12:F40" si="0">$C$2+$C$3+($C$4*(E12^2))</f>
        <v>7.263E-2</v>
      </c>
      <c r="G12">
        <f t="shared" ref="G12:G40" si="1">E12/F12</f>
        <v>1.3768415255404103</v>
      </c>
    </row>
    <row r="13" spans="2:7" x14ac:dyDescent="0.3">
      <c r="E13">
        <v>0.15</v>
      </c>
      <c r="F13">
        <f t="shared" si="0"/>
        <v>7.3417499999999997E-2</v>
      </c>
      <c r="G13">
        <f t="shared" si="1"/>
        <v>2.0431096128307282</v>
      </c>
    </row>
    <row r="14" spans="2:7" x14ac:dyDescent="0.3">
      <c r="E14">
        <v>0.2</v>
      </c>
      <c r="F14">
        <f t="shared" si="0"/>
        <v>7.4519999999999989E-2</v>
      </c>
      <c r="G14">
        <f t="shared" si="1"/>
        <v>2.6838432635534089</v>
      </c>
    </row>
    <row r="15" spans="2:7" x14ac:dyDescent="0.3">
      <c r="E15">
        <v>0.25</v>
      </c>
      <c r="F15">
        <f t="shared" si="0"/>
        <v>7.5937499999999991E-2</v>
      </c>
      <c r="G15">
        <f t="shared" si="1"/>
        <v>3.2921810699588483</v>
      </c>
    </row>
    <row r="16" spans="2:7" x14ac:dyDescent="0.3">
      <c r="E16">
        <v>0.3</v>
      </c>
      <c r="F16">
        <f t="shared" si="0"/>
        <v>7.7669999999999989E-2</v>
      </c>
      <c r="G16">
        <f t="shared" si="1"/>
        <v>3.8624951718810356</v>
      </c>
    </row>
    <row r="17" spans="5:7" x14ac:dyDescent="0.3">
      <c r="E17">
        <v>0.35</v>
      </c>
      <c r="F17">
        <f t="shared" si="0"/>
        <v>7.9717499999999997E-2</v>
      </c>
      <c r="G17">
        <f t="shared" si="1"/>
        <v>4.3905039671339416</v>
      </c>
    </row>
    <row r="18" spans="5:7" x14ac:dyDescent="0.3">
      <c r="E18">
        <v>0.4</v>
      </c>
      <c r="F18">
        <f t="shared" si="0"/>
        <v>8.208E-2</v>
      </c>
      <c r="G18">
        <f t="shared" si="1"/>
        <v>4.8732943469785575</v>
      </c>
    </row>
    <row r="19" spans="5:7" x14ac:dyDescent="0.3">
      <c r="E19">
        <v>0.45</v>
      </c>
      <c r="F19">
        <f t="shared" si="0"/>
        <v>8.47575E-2</v>
      </c>
      <c r="G19">
        <f t="shared" si="1"/>
        <v>5.3092646668436423</v>
      </c>
    </row>
    <row r="20" spans="5:7" x14ac:dyDescent="0.3">
      <c r="E20">
        <v>0.5</v>
      </c>
      <c r="F20">
        <f t="shared" si="0"/>
        <v>8.7749999999999995E-2</v>
      </c>
      <c r="G20">
        <f t="shared" si="1"/>
        <v>5.6980056980056988</v>
      </c>
    </row>
    <row r="21" spans="5:7" x14ac:dyDescent="0.3">
      <c r="E21">
        <v>0.55000000000000004</v>
      </c>
      <c r="F21">
        <f t="shared" si="0"/>
        <v>9.10575E-2</v>
      </c>
      <c r="G21">
        <f t="shared" si="1"/>
        <v>6.0401394723114521</v>
      </c>
    </row>
    <row r="22" spans="5:7" x14ac:dyDescent="0.3">
      <c r="E22">
        <v>0.6</v>
      </c>
      <c r="F22">
        <f t="shared" si="0"/>
        <v>9.4679999999999986E-2</v>
      </c>
      <c r="G22">
        <f t="shared" si="1"/>
        <v>6.3371356147021549</v>
      </c>
    </row>
    <row r="23" spans="5:7" x14ac:dyDescent="0.3">
      <c r="E23">
        <v>0.65</v>
      </c>
      <c r="F23">
        <f t="shared" si="0"/>
        <v>9.8617499999999997E-2</v>
      </c>
      <c r="G23">
        <f t="shared" si="1"/>
        <v>6.5911222653180221</v>
      </c>
    </row>
    <row r="24" spans="5:7" x14ac:dyDescent="0.3">
      <c r="E24">
        <v>0.7</v>
      </c>
      <c r="F24">
        <f t="shared" si="0"/>
        <v>0.10286999999999999</v>
      </c>
      <c r="G24">
        <f t="shared" si="1"/>
        <v>6.8047049674346267</v>
      </c>
    </row>
    <row r="25" spans="5:7" x14ac:dyDescent="0.3">
      <c r="E25">
        <v>0.75</v>
      </c>
      <c r="F25">
        <f t="shared" si="0"/>
        <v>0.10743749999999999</v>
      </c>
      <c r="G25">
        <f t="shared" si="1"/>
        <v>6.9808027923211178</v>
      </c>
    </row>
    <row r="26" spans="5:7" x14ac:dyDescent="0.3">
      <c r="E26">
        <v>0.8</v>
      </c>
      <c r="F26">
        <f t="shared" si="0"/>
        <v>0.11232</v>
      </c>
      <c r="G26">
        <f t="shared" si="1"/>
        <v>7.1225071225071224</v>
      </c>
    </row>
    <row r="27" spans="5:7" x14ac:dyDescent="0.3">
      <c r="E27">
        <v>0.85</v>
      </c>
      <c r="F27">
        <f t="shared" si="0"/>
        <v>0.1175175</v>
      </c>
      <c r="G27">
        <f t="shared" si="1"/>
        <v>7.2329653030399728</v>
      </c>
    </row>
    <row r="28" spans="5:7" x14ac:dyDescent="0.3">
      <c r="E28">
        <v>0.9</v>
      </c>
      <c r="F28">
        <f t="shared" si="0"/>
        <v>0.12303</v>
      </c>
      <c r="G28">
        <f t="shared" si="1"/>
        <v>7.3152889539136794</v>
      </c>
    </row>
    <row r="29" spans="5:7" x14ac:dyDescent="0.3">
      <c r="E29">
        <v>0.95</v>
      </c>
      <c r="F29">
        <f t="shared" si="0"/>
        <v>0.12885749999999999</v>
      </c>
      <c r="G29">
        <f t="shared" si="1"/>
        <v>7.3724851095202073</v>
      </c>
    </row>
    <row r="30" spans="5:7" x14ac:dyDescent="0.3">
      <c r="E30">
        <v>1</v>
      </c>
      <c r="F30">
        <f t="shared" si="0"/>
        <v>0.13500000000000001</v>
      </c>
      <c r="G30">
        <f t="shared" si="1"/>
        <v>7.4074074074074066</v>
      </c>
    </row>
    <row r="31" spans="5:7" x14ac:dyDescent="0.3">
      <c r="E31">
        <v>1.05</v>
      </c>
      <c r="F31">
        <f t="shared" si="0"/>
        <v>0.14145750000000001</v>
      </c>
      <c r="G31">
        <f t="shared" si="1"/>
        <v>7.4227241397592909</v>
      </c>
    </row>
    <row r="32" spans="5:7" x14ac:dyDescent="0.3">
      <c r="E32">
        <v>1.1000000000000001</v>
      </c>
      <c r="F32">
        <f t="shared" si="0"/>
        <v>0.14823</v>
      </c>
      <c r="G32">
        <f t="shared" si="1"/>
        <v>7.4208999527760922</v>
      </c>
    </row>
    <row r="33" spans="5:7" x14ac:dyDescent="0.3">
      <c r="E33">
        <v>1.1499999999999999</v>
      </c>
      <c r="F33">
        <f t="shared" si="0"/>
        <v>0.1553175</v>
      </c>
      <c r="G33">
        <f t="shared" si="1"/>
        <v>7.404188195148647</v>
      </c>
    </row>
    <row r="34" spans="5:7" x14ac:dyDescent="0.3">
      <c r="E34">
        <v>1.2</v>
      </c>
      <c r="F34">
        <f t="shared" si="0"/>
        <v>0.16271999999999998</v>
      </c>
      <c r="G34">
        <f t="shared" si="1"/>
        <v>7.3746312684365787</v>
      </c>
    </row>
    <row r="35" spans="5:7" x14ac:dyDescent="0.3">
      <c r="E35">
        <v>1.25</v>
      </c>
      <c r="F35">
        <f t="shared" si="0"/>
        <v>0.17043749999999999</v>
      </c>
      <c r="G35">
        <f t="shared" si="1"/>
        <v>7.3340667400073345</v>
      </c>
    </row>
    <row r="36" spans="5:7" x14ac:dyDescent="0.3">
      <c r="E36">
        <v>1.3</v>
      </c>
      <c r="F36">
        <f t="shared" si="0"/>
        <v>0.17847000000000002</v>
      </c>
      <c r="G36">
        <f t="shared" si="1"/>
        <v>7.2841373900375412</v>
      </c>
    </row>
    <row r="37" spans="5:7" x14ac:dyDescent="0.3">
      <c r="E37">
        <v>1.35</v>
      </c>
      <c r="F37">
        <f t="shared" si="0"/>
        <v>0.18681750000000003</v>
      </c>
      <c r="G37">
        <f t="shared" si="1"/>
        <v>7.2263037456341079</v>
      </c>
    </row>
    <row r="38" spans="5:7" x14ac:dyDescent="0.3">
      <c r="E38">
        <v>1.4</v>
      </c>
      <c r="F38">
        <f t="shared" si="0"/>
        <v>0.19547999999999999</v>
      </c>
      <c r="G38">
        <f t="shared" si="1"/>
        <v>7.1618579905872721</v>
      </c>
    </row>
    <row r="39" spans="5:7" x14ac:dyDescent="0.3">
      <c r="E39">
        <v>1.45</v>
      </c>
      <c r="F39">
        <f t="shared" si="0"/>
        <v>0.20445750000000001</v>
      </c>
      <c r="G39">
        <f t="shared" si="1"/>
        <v>7.0919384224105251</v>
      </c>
    </row>
    <row r="40" spans="5:7" x14ac:dyDescent="0.3">
      <c r="E40">
        <v>1.5</v>
      </c>
      <c r="F40">
        <f t="shared" si="0"/>
        <v>0.21375</v>
      </c>
      <c r="G40">
        <f t="shared" si="1"/>
        <v>7.0175438596491233</v>
      </c>
    </row>
    <row r="53" spans="2:7" x14ac:dyDescent="0.3">
      <c r="B53" t="s">
        <v>350</v>
      </c>
      <c r="C53">
        <v>1.2E-2</v>
      </c>
    </row>
    <row r="54" spans="2:7" x14ac:dyDescent="0.3">
      <c r="B54" t="s">
        <v>349</v>
      </c>
      <c r="C54">
        <v>0.06</v>
      </c>
    </row>
    <row r="55" spans="2:7" x14ac:dyDescent="0.3">
      <c r="B55" t="s">
        <v>351</v>
      </c>
      <c r="C55">
        <v>5.8500000000000003E-2</v>
      </c>
    </row>
    <row r="56" spans="2:7" x14ac:dyDescent="0.3">
      <c r="B56" t="s">
        <v>174</v>
      </c>
      <c r="C56">
        <v>0.86</v>
      </c>
    </row>
    <row r="58" spans="2:7" x14ac:dyDescent="0.3">
      <c r="B58" t="s">
        <v>348</v>
      </c>
      <c r="C58">
        <f>C53+C54+(C55*(C56^2))</f>
        <v>0.1152666</v>
      </c>
    </row>
    <row r="61" spans="2:7" x14ac:dyDescent="0.3">
      <c r="E61" s="5" t="s">
        <v>174</v>
      </c>
      <c r="F61" s="5" t="s">
        <v>348</v>
      </c>
      <c r="G61" s="5" t="s">
        <v>352</v>
      </c>
    </row>
    <row r="62" spans="2:7" x14ac:dyDescent="0.3">
      <c r="E62">
        <v>0.05</v>
      </c>
      <c r="F62">
        <f t="shared" ref="F62:F91" si="2">$C$53+$C$54+($C$55*(E62^2))</f>
        <v>7.2146249999999995E-2</v>
      </c>
      <c r="G62">
        <f>E62/F62</f>
        <v>0.69303671361990415</v>
      </c>
    </row>
    <row r="63" spans="2:7" x14ac:dyDescent="0.3">
      <c r="E63">
        <v>0.1</v>
      </c>
      <c r="F63">
        <f t="shared" si="2"/>
        <v>7.2584999999999997E-2</v>
      </c>
      <c r="G63">
        <f t="shared" ref="G63:G91" si="3">E63/F63</f>
        <v>1.3776951160708137</v>
      </c>
    </row>
    <row r="64" spans="2:7" x14ac:dyDescent="0.3">
      <c r="E64">
        <v>0.15</v>
      </c>
      <c r="F64">
        <f t="shared" si="2"/>
        <v>7.3316249999999999E-2</v>
      </c>
      <c r="G64">
        <f t="shared" si="3"/>
        <v>2.0459311544166536</v>
      </c>
    </row>
    <row r="65" spans="5:7" x14ac:dyDescent="0.3">
      <c r="E65">
        <v>0.2</v>
      </c>
      <c r="F65">
        <f t="shared" si="2"/>
        <v>7.4339999999999989E-2</v>
      </c>
      <c r="G65">
        <f t="shared" si="3"/>
        <v>2.6903416733925214</v>
      </c>
    </row>
    <row r="66" spans="5:7" x14ac:dyDescent="0.3">
      <c r="E66">
        <v>0.25</v>
      </c>
      <c r="F66">
        <f t="shared" si="2"/>
        <v>7.5656249999999994E-2</v>
      </c>
      <c r="G66">
        <f t="shared" si="3"/>
        <v>3.3044196612969849</v>
      </c>
    </row>
    <row r="67" spans="5:7" x14ac:dyDescent="0.3">
      <c r="E67">
        <v>0.3</v>
      </c>
      <c r="F67">
        <f t="shared" si="2"/>
        <v>7.7265E-2</v>
      </c>
      <c r="G67">
        <f t="shared" si="3"/>
        <v>3.8827412152980001</v>
      </c>
    </row>
    <row r="68" spans="5:7" x14ac:dyDescent="0.3">
      <c r="E68">
        <v>0.35</v>
      </c>
      <c r="F68">
        <f t="shared" si="2"/>
        <v>7.9166249999999994E-2</v>
      </c>
      <c r="G68">
        <f t="shared" si="3"/>
        <v>4.421075900399476</v>
      </c>
    </row>
    <row r="69" spans="5:7" x14ac:dyDescent="0.3">
      <c r="E69">
        <v>0.4</v>
      </c>
      <c r="F69">
        <f t="shared" si="2"/>
        <v>8.1360000000000002E-2</v>
      </c>
      <c r="G69">
        <f t="shared" si="3"/>
        <v>4.9164208456243852</v>
      </c>
    </row>
    <row r="70" spans="5:7" x14ac:dyDescent="0.3">
      <c r="E70">
        <v>0.45</v>
      </c>
      <c r="F70">
        <f t="shared" si="2"/>
        <v>8.3846249999999997E-2</v>
      </c>
      <c r="G70">
        <f t="shared" si="3"/>
        <v>5.366966322286328</v>
      </c>
    </row>
    <row r="71" spans="5:7" x14ac:dyDescent="0.3">
      <c r="E71">
        <v>0.5</v>
      </c>
      <c r="F71">
        <f t="shared" si="2"/>
        <v>8.6624999999999994E-2</v>
      </c>
      <c r="G71">
        <f t="shared" si="3"/>
        <v>5.7720057720057723</v>
      </c>
    </row>
    <row r="72" spans="5:7" x14ac:dyDescent="0.3">
      <c r="E72">
        <v>0.55000000000000004</v>
      </c>
      <c r="F72">
        <f t="shared" si="2"/>
        <v>8.9696250000000005E-2</v>
      </c>
      <c r="G72">
        <f t="shared" si="3"/>
        <v>6.1318059562133316</v>
      </c>
    </row>
    <row r="73" spans="5:7" x14ac:dyDescent="0.3">
      <c r="E73">
        <v>0.6</v>
      </c>
      <c r="F73">
        <f t="shared" si="2"/>
        <v>9.305999999999999E-2</v>
      </c>
      <c r="G73">
        <f t="shared" si="3"/>
        <v>6.4474532559638948</v>
      </c>
    </row>
    <row r="74" spans="5:7" x14ac:dyDescent="0.3">
      <c r="E74">
        <v>0.65</v>
      </c>
      <c r="F74">
        <f t="shared" si="2"/>
        <v>9.6716250000000004E-2</v>
      </c>
      <c r="G74">
        <f t="shared" si="3"/>
        <v>6.720690680211443</v>
      </c>
    </row>
    <row r="75" spans="5:7" x14ac:dyDescent="0.3">
      <c r="E75">
        <v>0.7</v>
      </c>
      <c r="F75">
        <f t="shared" si="2"/>
        <v>0.10066499999999999</v>
      </c>
      <c r="G75">
        <f t="shared" si="3"/>
        <v>6.9537575125415989</v>
      </c>
    </row>
    <row r="76" spans="5:7" x14ac:dyDescent="0.3">
      <c r="E76">
        <v>0.75</v>
      </c>
      <c r="F76">
        <f t="shared" si="2"/>
        <v>0.10490625000000001</v>
      </c>
      <c r="G76">
        <f t="shared" si="3"/>
        <v>7.1492403932082214</v>
      </c>
    </row>
    <row r="77" spans="5:7" x14ac:dyDescent="0.3">
      <c r="E77">
        <v>0.8</v>
      </c>
      <c r="F77">
        <f t="shared" si="2"/>
        <v>0.10944000000000001</v>
      </c>
      <c r="G77">
        <f t="shared" si="3"/>
        <v>7.3099415204678362</v>
      </c>
    </row>
    <row r="78" spans="5:7" x14ac:dyDescent="0.3">
      <c r="E78">
        <v>0.85</v>
      </c>
      <c r="F78">
        <f t="shared" si="2"/>
        <v>0.11426624999999999</v>
      </c>
      <c r="G78">
        <f t="shared" si="3"/>
        <v>7.43876691499021</v>
      </c>
    </row>
    <row r="79" spans="5:7" x14ac:dyDescent="0.3">
      <c r="E79">
        <v>0.9</v>
      </c>
      <c r="F79">
        <f t="shared" si="2"/>
        <v>0.11938499999999999</v>
      </c>
      <c r="G79">
        <f t="shared" si="3"/>
        <v>7.5386355069732387</v>
      </c>
    </row>
    <row r="80" spans="5:7" x14ac:dyDescent="0.3">
      <c r="E80">
        <v>0.95</v>
      </c>
      <c r="F80">
        <f t="shared" si="2"/>
        <v>0.12479625</v>
      </c>
      <c r="G80">
        <f t="shared" si="3"/>
        <v>7.6124082254074139</v>
      </c>
    </row>
    <row r="81" spans="5:7" x14ac:dyDescent="0.3">
      <c r="E81">
        <v>1</v>
      </c>
      <c r="F81">
        <f t="shared" si="2"/>
        <v>0.1305</v>
      </c>
      <c r="G81">
        <f t="shared" si="3"/>
        <v>7.6628352490421454</v>
      </c>
    </row>
    <row r="82" spans="5:7" x14ac:dyDescent="0.3">
      <c r="E82">
        <v>1.05</v>
      </c>
      <c r="F82">
        <f>$C$53+$C$54+($C$55*(E82^2))</f>
        <v>0.13649624999999999</v>
      </c>
      <c r="G82">
        <f>E82/F82</f>
        <v>7.6925190252479476</v>
      </c>
    </row>
    <row r="83" spans="5:7" x14ac:dyDescent="0.3">
      <c r="E83">
        <v>1.1000000000000001</v>
      </c>
      <c r="F83">
        <f t="shared" si="2"/>
        <v>0.142785</v>
      </c>
      <c r="G83">
        <f t="shared" si="3"/>
        <v>7.7038904646846662</v>
      </c>
    </row>
    <row r="84" spans="5:7" x14ac:dyDescent="0.3">
      <c r="E84">
        <v>1.1499999999999999</v>
      </c>
      <c r="F84">
        <f t="shared" si="2"/>
        <v>0.14936624999999998</v>
      </c>
      <c r="G84">
        <f t="shared" si="3"/>
        <v>7.6991957687898038</v>
      </c>
    </row>
    <row r="85" spans="5:7" x14ac:dyDescent="0.3">
      <c r="E85">
        <v>1.2</v>
      </c>
      <c r="F85">
        <f t="shared" si="2"/>
        <v>0.15623999999999999</v>
      </c>
      <c r="G85">
        <f t="shared" si="3"/>
        <v>7.6804915514592933</v>
      </c>
    </row>
    <row r="86" spans="5:7" x14ac:dyDescent="0.3">
      <c r="E86">
        <v>1.25</v>
      </c>
      <c r="F86">
        <f t="shared" si="2"/>
        <v>0.16340625</v>
      </c>
      <c r="G86">
        <f t="shared" si="3"/>
        <v>7.649646203863071</v>
      </c>
    </row>
    <row r="87" spans="5:7" x14ac:dyDescent="0.3">
      <c r="E87">
        <v>1.3</v>
      </c>
      <c r="F87">
        <f t="shared" si="2"/>
        <v>0.17086500000000002</v>
      </c>
      <c r="G87">
        <f t="shared" si="3"/>
        <v>7.60834577005238</v>
      </c>
    </row>
    <row r="88" spans="5:7" x14ac:dyDescent="0.3">
      <c r="E88">
        <v>1.35</v>
      </c>
      <c r="F88">
        <f t="shared" si="2"/>
        <v>0.17861625000000003</v>
      </c>
      <c r="G88">
        <f t="shared" si="3"/>
        <v>7.5581029161680409</v>
      </c>
    </row>
    <row r="89" spans="5:7" x14ac:dyDescent="0.3">
      <c r="E89">
        <v>1.4</v>
      </c>
      <c r="F89">
        <f t="shared" si="2"/>
        <v>0.18665999999999999</v>
      </c>
      <c r="G89">
        <f t="shared" si="3"/>
        <v>7.5002678667095255</v>
      </c>
    </row>
    <row r="90" spans="5:7" x14ac:dyDescent="0.3">
      <c r="E90">
        <v>1.45</v>
      </c>
      <c r="F90">
        <f t="shared" si="2"/>
        <v>0.19499625000000001</v>
      </c>
      <c r="G90">
        <f t="shared" si="3"/>
        <v>7.4360404366750634</v>
      </c>
    </row>
    <row r="91" spans="5:7" x14ac:dyDescent="0.3">
      <c r="E91">
        <v>1.5</v>
      </c>
      <c r="F91">
        <f t="shared" si="2"/>
        <v>0.203625</v>
      </c>
      <c r="G91">
        <f t="shared" si="3"/>
        <v>7.3664825046040514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4230-27AC-46C5-9357-D474F97E4C55}">
  <dimension ref="A1:I11"/>
  <sheetViews>
    <sheetView workbookViewId="0">
      <selection activeCell="H17" sqref="H17"/>
    </sheetView>
  </sheetViews>
  <sheetFormatPr defaultRowHeight="14.4" x14ac:dyDescent="0.3"/>
  <cols>
    <col min="1" max="1" width="21.5546875" customWidth="1"/>
  </cols>
  <sheetData>
    <row r="1" spans="1:9" x14ac:dyDescent="0.3">
      <c r="B1" t="s">
        <v>100</v>
      </c>
      <c r="C1" t="s">
        <v>320</v>
      </c>
      <c r="D1" t="s">
        <v>324</v>
      </c>
      <c r="E1" t="s">
        <v>325</v>
      </c>
      <c r="F1" t="s">
        <v>321</v>
      </c>
    </row>
    <row r="2" spans="1:9" x14ac:dyDescent="0.3">
      <c r="A2" t="s">
        <v>322</v>
      </c>
      <c r="B2">
        <v>5.03</v>
      </c>
    </row>
    <row r="3" spans="1:9" x14ac:dyDescent="0.3">
      <c r="A3" t="s">
        <v>323</v>
      </c>
    </row>
    <row r="4" spans="1:9" x14ac:dyDescent="0.3">
      <c r="A4" t="s">
        <v>326</v>
      </c>
      <c r="B4">
        <v>5.16</v>
      </c>
      <c r="C4">
        <v>380.5</v>
      </c>
      <c r="D4">
        <v>1035.57</v>
      </c>
      <c r="E4">
        <v>1355.75</v>
      </c>
      <c r="F4">
        <v>23.67</v>
      </c>
      <c r="I4" t="s">
        <v>327</v>
      </c>
    </row>
    <row r="5" spans="1:9" x14ac:dyDescent="0.3">
      <c r="C5">
        <f>C4/12</f>
        <v>31.708333333333332</v>
      </c>
      <c r="D5">
        <f>D4/12</f>
        <v>86.297499999999999</v>
      </c>
      <c r="E5">
        <f>E4/12</f>
        <v>112.97916666666667</v>
      </c>
      <c r="F5">
        <f>F4/12</f>
        <v>1.9725000000000001</v>
      </c>
    </row>
    <row r="9" spans="1:9" x14ac:dyDescent="0.3">
      <c r="G9" t="s">
        <v>354</v>
      </c>
      <c r="H9" t="s">
        <v>355</v>
      </c>
      <c r="I9" t="s">
        <v>356</v>
      </c>
    </row>
    <row r="10" spans="1:9" x14ac:dyDescent="0.3">
      <c r="A10" t="s">
        <v>353</v>
      </c>
      <c r="B10">
        <v>5.53</v>
      </c>
      <c r="C10">
        <v>358.88</v>
      </c>
      <c r="D10">
        <v>782.02</v>
      </c>
      <c r="E10">
        <v>1084.1500000000001</v>
      </c>
      <c r="F10">
        <v>-11.98</v>
      </c>
      <c r="G10">
        <v>3.24</v>
      </c>
      <c r="H10">
        <v>0</v>
      </c>
      <c r="I10">
        <v>-0.17</v>
      </c>
    </row>
    <row r="11" spans="1:9" x14ac:dyDescent="0.3">
      <c r="C11">
        <f>C10/144</f>
        <v>2.4922222222222223</v>
      </c>
      <c r="D11">
        <f>D10/144</f>
        <v>5.4306944444444447</v>
      </c>
      <c r="E11">
        <f>E10/144</f>
        <v>7.5288194444444452</v>
      </c>
      <c r="F11">
        <f>F10/144</f>
        <v>-8.3194444444444446E-2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6AFE-7A2B-48C2-A6C5-F2AD98852B47}">
  <dimension ref="A1:D26"/>
  <sheetViews>
    <sheetView workbookViewId="0">
      <selection activeCell="B31" sqref="B31"/>
    </sheetView>
  </sheetViews>
  <sheetFormatPr defaultRowHeight="14.4" x14ac:dyDescent="0.3"/>
  <cols>
    <col min="1" max="1" width="44.6640625" bestFit="1" customWidth="1"/>
    <col min="2" max="3" width="44.6640625" customWidth="1"/>
  </cols>
  <sheetData>
    <row r="1" spans="1:4" x14ac:dyDescent="0.3">
      <c r="B1" t="s">
        <v>270</v>
      </c>
      <c r="C1" t="s">
        <v>268</v>
      </c>
      <c r="D1" t="s">
        <v>269</v>
      </c>
    </row>
    <row r="2" spans="1:4" x14ac:dyDescent="0.3">
      <c r="A2" s="3"/>
      <c r="B2" s="3"/>
      <c r="C2" s="3"/>
      <c r="D2" s="3">
        <f>C2*B2</f>
        <v>0</v>
      </c>
    </row>
    <row r="3" spans="1:4" x14ac:dyDescent="0.3">
      <c r="A3" t="s">
        <v>11</v>
      </c>
    </row>
    <row r="4" spans="1:4" x14ac:dyDescent="0.3">
      <c r="A4" s="3"/>
      <c r="B4" s="3"/>
      <c r="C4" s="3"/>
      <c r="D4" s="3"/>
    </row>
    <row r="5" spans="1:4" x14ac:dyDescent="0.3">
      <c r="A5" t="s">
        <v>15</v>
      </c>
      <c r="D5" s="3">
        <f t="shared" ref="D5:D20" si="0">C5*B5</f>
        <v>0</v>
      </c>
    </row>
    <row r="6" spans="1:4" x14ac:dyDescent="0.3">
      <c r="A6" s="3"/>
      <c r="B6" s="3"/>
      <c r="C6" s="3"/>
      <c r="D6" s="3">
        <f t="shared" si="0"/>
        <v>0</v>
      </c>
    </row>
    <row r="7" spans="1:4" x14ac:dyDescent="0.3">
      <c r="A7" t="s">
        <v>18</v>
      </c>
      <c r="D7" s="3">
        <f t="shared" si="0"/>
        <v>0</v>
      </c>
    </row>
    <row r="8" spans="1:4" x14ac:dyDescent="0.3">
      <c r="A8" s="3"/>
      <c r="B8" s="3"/>
      <c r="C8" s="3"/>
      <c r="D8" s="3">
        <f t="shared" si="0"/>
        <v>0</v>
      </c>
    </row>
    <row r="9" spans="1:4" x14ac:dyDescent="0.3">
      <c r="A9" t="s">
        <v>20</v>
      </c>
      <c r="D9" s="3">
        <f t="shared" si="0"/>
        <v>0</v>
      </c>
    </row>
    <row r="10" spans="1:4" x14ac:dyDescent="0.3">
      <c r="A10" s="3"/>
      <c r="B10" s="3"/>
      <c r="C10" s="3"/>
      <c r="D10" s="3">
        <f t="shared" si="0"/>
        <v>0</v>
      </c>
    </row>
    <row r="11" spans="1:4" x14ac:dyDescent="0.3">
      <c r="A11" t="s">
        <v>273</v>
      </c>
      <c r="B11">
        <v>79.989999999999995</v>
      </c>
      <c r="C11">
        <v>1</v>
      </c>
      <c r="D11" s="3">
        <f t="shared" si="0"/>
        <v>79.989999999999995</v>
      </c>
    </row>
    <row r="12" spans="1:4" x14ac:dyDescent="0.3">
      <c r="A12" s="3"/>
      <c r="B12" s="3"/>
      <c r="C12" s="3"/>
      <c r="D12" s="3">
        <f t="shared" si="0"/>
        <v>0</v>
      </c>
    </row>
    <row r="13" spans="1:4" x14ac:dyDescent="0.3">
      <c r="A13" t="s">
        <v>249</v>
      </c>
      <c r="B13">
        <v>89.14</v>
      </c>
      <c r="C13">
        <v>2</v>
      </c>
      <c r="D13" s="3">
        <f t="shared" si="0"/>
        <v>178.28</v>
      </c>
    </row>
    <row r="14" spans="1:4" x14ac:dyDescent="0.3">
      <c r="A14" s="3"/>
      <c r="B14" s="3"/>
      <c r="C14" s="3"/>
      <c r="D14" s="3">
        <f t="shared" si="0"/>
        <v>0</v>
      </c>
    </row>
    <row r="15" spans="1:4" x14ac:dyDescent="0.3">
      <c r="A15" t="s">
        <v>25</v>
      </c>
      <c r="D15" s="3">
        <f t="shared" si="0"/>
        <v>0</v>
      </c>
    </row>
    <row r="16" spans="1:4" x14ac:dyDescent="0.3">
      <c r="A16" s="3"/>
      <c r="B16" s="3"/>
      <c r="C16" s="3"/>
      <c r="D16" s="3">
        <f t="shared" si="0"/>
        <v>0</v>
      </c>
    </row>
    <row r="17" spans="1:4" x14ac:dyDescent="0.3">
      <c r="A17" t="s">
        <v>274</v>
      </c>
      <c r="B17">
        <v>69.95</v>
      </c>
      <c r="C17">
        <v>1</v>
      </c>
      <c r="D17" s="3">
        <f t="shared" si="0"/>
        <v>69.95</v>
      </c>
    </row>
    <row r="18" spans="1:4" x14ac:dyDescent="0.3">
      <c r="A18" s="3"/>
      <c r="B18" s="3"/>
      <c r="C18" s="3"/>
      <c r="D18" s="3">
        <f t="shared" si="0"/>
        <v>0</v>
      </c>
    </row>
    <row r="19" spans="1:4" x14ac:dyDescent="0.3">
      <c r="A19" t="s">
        <v>271</v>
      </c>
      <c r="B19">
        <v>79.989999999999995</v>
      </c>
      <c r="C19">
        <v>4</v>
      </c>
      <c r="D19" s="3">
        <f t="shared" si="0"/>
        <v>319.95999999999998</v>
      </c>
    </row>
    <row r="20" spans="1:4" x14ac:dyDescent="0.3">
      <c r="A20" t="s">
        <v>272</v>
      </c>
      <c r="B20">
        <v>5.99</v>
      </c>
      <c r="C20">
        <v>4</v>
      </c>
      <c r="D20" s="3">
        <f t="shared" si="0"/>
        <v>23.96</v>
      </c>
    </row>
    <row r="21" spans="1:4" x14ac:dyDescent="0.3">
      <c r="A21" t="s">
        <v>275</v>
      </c>
    </row>
    <row r="22" spans="1:4" x14ac:dyDescent="0.3">
      <c r="A22" t="s">
        <v>276</v>
      </c>
    </row>
    <row r="23" spans="1:4" x14ac:dyDescent="0.3">
      <c r="A23" t="s">
        <v>277</v>
      </c>
    </row>
    <row r="26" spans="1:4" x14ac:dyDescent="0.3">
      <c r="A26" t="s">
        <v>254</v>
      </c>
      <c r="D26">
        <f>SUM(D1:D20)</f>
        <v>672.14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workbookViewId="0">
      <selection activeCell="H26" sqref="H26"/>
    </sheetView>
  </sheetViews>
  <sheetFormatPr defaultRowHeight="14.4" x14ac:dyDescent="0.3"/>
  <cols>
    <col min="1" max="1" width="24.44140625" bestFit="1" customWidth="1"/>
    <col min="3" max="3" width="12" bestFit="1" customWidth="1"/>
  </cols>
  <sheetData>
    <row r="1" spans="1:6" s="7" customFormat="1" x14ac:dyDescent="0.3">
      <c r="A1" s="7" t="s">
        <v>127</v>
      </c>
    </row>
    <row r="2" spans="1:6" x14ac:dyDescent="0.3">
      <c r="A2" t="s">
        <v>125</v>
      </c>
      <c r="B2">
        <v>2.25</v>
      </c>
    </row>
    <row r="3" spans="1:6" x14ac:dyDescent="0.3">
      <c r="A3" t="s">
        <v>126</v>
      </c>
      <c r="B3">
        <v>1.75</v>
      </c>
    </row>
    <row r="4" spans="1:6" s="8" customFormat="1" x14ac:dyDescent="0.3">
      <c r="A4" s="9" t="s">
        <v>246</v>
      </c>
    </row>
    <row r="5" spans="1:6" x14ac:dyDescent="0.3">
      <c r="A5" s="5"/>
      <c r="B5" t="s">
        <v>133</v>
      </c>
      <c r="C5" t="s">
        <v>134</v>
      </c>
    </row>
    <row r="6" spans="1:6" x14ac:dyDescent="0.3">
      <c r="A6" t="s">
        <v>128</v>
      </c>
      <c r="B6">
        <f>'Progressive Analysis'!B60/2</f>
        <v>0.5</v>
      </c>
      <c r="C6">
        <f>B6</f>
        <v>0.5</v>
      </c>
      <c r="D6" t="s">
        <v>35</v>
      </c>
    </row>
    <row r="7" spans="1:6" x14ac:dyDescent="0.3">
      <c r="A7" t="s">
        <v>129</v>
      </c>
      <c r="B7">
        <f>0.905512/2</f>
        <v>0.45275599999999999</v>
      </c>
      <c r="C7">
        <f>0.905512/2</f>
        <v>0.45275599999999999</v>
      </c>
      <c r="D7" t="s">
        <v>35</v>
      </c>
    </row>
    <row r="8" spans="1:6" x14ac:dyDescent="0.3">
      <c r="A8" t="s">
        <v>130</v>
      </c>
      <c r="B8">
        <f>PI()*(1/4)*((B6^4)-(B7^4))</f>
        <v>1.6084892878812308E-2</v>
      </c>
      <c r="C8">
        <f>PI()*(1/4)*((C6^4)-(C7^4))</f>
        <v>1.6084892878812308E-2</v>
      </c>
      <c r="D8" t="s">
        <v>131</v>
      </c>
    </row>
    <row r="9" spans="1:6" x14ac:dyDescent="0.3">
      <c r="A9" t="s">
        <v>135</v>
      </c>
      <c r="B9" s="12">
        <v>0</v>
      </c>
      <c r="C9" t="e">
        <f>(#REF!*('New Stress Hand-Calcs'!C6/2)/'New Stress Hand-Calcs'!C8)/1000</f>
        <v>#REF!</v>
      </c>
      <c r="D9" t="s">
        <v>52</v>
      </c>
    </row>
    <row r="10" spans="1:6" x14ac:dyDescent="0.3">
      <c r="A10" t="s">
        <v>132</v>
      </c>
      <c r="B10" t="e">
        <f>'Material Properties'!$B$90/(B9*$B$2)-1</f>
        <v>#DIV/0!</v>
      </c>
      <c r="C10" t="e">
        <f>'Material Properties'!$B$90/(C9*$B$2)-1</f>
        <v>#REF!</v>
      </c>
      <c r="D10" t="s">
        <v>51</v>
      </c>
    </row>
    <row r="13" spans="1:6" s="8" customFormat="1" x14ac:dyDescent="0.3">
      <c r="A13" s="9" t="s">
        <v>247</v>
      </c>
    </row>
    <row r="14" spans="1:6" x14ac:dyDescent="0.3">
      <c r="A14" t="s">
        <v>235</v>
      </c>
      <c r="B14">
        <f>F15</f>
        <v>343.68</v>
      </c>
      <c r="C14" t="s">
        <v>146</v>
      </c>
      <c r="D14">
        <v>32.200000000000003</v>
      </c>
      <c r="E14" t="s">
        <v>248</v>
      </c>
      <c r="F14">
        <f>D14*12</f>
        <v>386.40000000000003</v>
      </c>
    </row>
    <row r="15" spans="1:6" x14ac:dyDescent="0.3">
      <c r="A15" s="17" t="s">
        <v>236</v>
      </c>
      <c r="B15" s="16">
        <v>1.875</v>
      </c>
      <c r="C15" s="18" t="s">
        <v>35</v>
      </c>
      <c r="D15">
        <v>28.64</v>
      </c>
      <c r="F15">
        <f>D15*12</f>
        <v>343.68</v>
      </c>
    </row>
    <row r="16" spans="1:6" x14ac:dyDescent="0.3">
      <c r="A16" s="17" t="s">
        <v>237</v>
      </c>
      <c r="B16" s="16">
        <v>0.5</v>
      </c>
      <c r="C16" s="18" t="s">
        <v>35</v>
      </c>
    </row>
    <row r="17" spans="1:3" x14ac:dyDescent="0.3">
      <c r="A17" s="17" t="s">
        <v>238</v>
      </c>
      <c r="B17" s="16">
        <f>B15-('Progressive Analysis'!B47*2)</f>
        <v>1.375</v>
      </c>
      <c r="C17" s="18" t="s">
        <v>35</v>
      </c>
    </row>
    <row r="18" spans="1:3" x14ac:dyDescent="0.3">
      <c r="A18" s="17" t="s">
        <v>239</v>
      </c>
      <c r="B18" s="16">
        <f>B16-0.125</f>
        <v>0.375</v>
      </c>
      <c r="C18" s="18" t="s">
        <v>35</v>
      </c>
    </row>
    <row r="19" spans="1:3" x14ac:dyDescent="0.3">
      <c r="A19" s="17" t="s">
        <v>240</v>
      </c>
      <c r="B19" s="16">
        <f>(1/12)*(B16*(B15^3))</f>
        <v>0.274658203125</v>
      </c>
      <c r="C19" s="18" t="s">
        <v>131</v>
      </c>
    </row>
    <row r="20" spans="1:3" x14ac:dyDescent="0.3">
      <c r="A20" s="17" t="s">
        <v>241</v>
      </c>
      <c r="B20" s="16">
        <f>(1/12)*(B18*(B17^3))</f>
        <v>8.123779296875E-2</v>
      </c>
      <c r="C20" s="18" t="s">
        <v>131</v>
      </c>
    </row>
    <row r="21" spans="1:3" x14ac:dyDescent="0.3">
      <c r="A21" s="17" t="s">
        <v>242</v>
      </c>
      <c r="B21" s="16">
        <f>B19-B20</f>
        <v>0.19342041015625</v>
      </c>
      <c r="C21" s="18" t="s">
        <v>131</v>
      </c>
    </row>
    <row r="22" spans="1:3" x14ac:dyDescent="0.3">
      <c r="A22" s="17"/>
      <c r="B22" s="16"/>
      <c r="C22" s="18"/>
    </row>
    <row r="23" spans="1:3" ht="15" thickBot="1" x14ac:dyDescent="0.35">
      <c r="A23" s="19" t="s">
        <v>243</v>
      </c>
      <c r="B23" s="20">
        <f>(B14*(B15/2))/B21</f>
        <v>1665.8014515620068</v>
      </c>
      <c r="C23" s="21" t="s">
        <v>149</v>
      </c>
    </row>
  </sheetData>
  <conditionalFormatting sqref="B10:C1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33B1-21BD-4870-A38B-BFA641908B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Old Material Testing</vt:lpstr>
      <vt:lpstr>Initial Sizing</vt:lpstr>
      <vt:lpstr>Material Properties</vt:lpstr>
      <vt:lpstr>Mass Breakdown</vt:lpstr>
      <vt:lpstr>Progressive Analysis</vt:lpstr>
      <vt:lpstr>Drag Polar</vt:lpstr>
      <vt:lpstr>Estimated Inertias</vt:lpstr>
      <vt:lpstr>Cost Breakdown</vt:lpstr>
      <vt:lpstr>New Stress Hand-Calcs</vt:lpstr>
      <vt:lpstr>Wing Stress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Gunderman</dc:creator>
  <cp:lastModifiedBy>Michael Gunderman</cp:lastModifiedBy>
  <dcterms:created xsi:type="dcterms:W3CDTF">2020-06-25T21:14:11Z</dcterms:created>
  <dcterms:modified xsi:type="dcterms:W3CDTF">2025-03-04T06:53:29Z</dcterms:modified>
</cp:coreProperties>
</file>